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er.hughes\Downloads\"/>
    </mc:Choice>
  </mc:AlternateContent>
  <xr:revisionPtr revIDLastSave="0" documentId="13_ncr:1_{A16E2F87-9E9D-4CC3-AB0D-FD1D574FC8CB}" xr6:coauthVersionLast="47" xr6:coauthVersionMax="47" xr10:uidLastSave="{00000000-0000-0000-0000-000000000000}"/>
  <bookViews>
    <workbookView xWindow="28680" yWindow="-120" windowWidth="29040" windowHeight="15720" xr2:uid="{9615A168-4931-4DD2-BF15-8E1FFF4F6583}"/>
  </bookViews>
  <sheets>
    <sheet name="Selection" sheetId="1" r:id="rId1"/>
    <sheet name="Library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C5" i="1"/>
  <c r="C6" i="1"/>
  <c r="C7" i="1"/>
  <c r="C4" i="1"/>
  <c r="D3" i="1"/>
  <c r="C3" i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E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E171" i="1" s="1"/>
  <c r="C172" i="1"/>
  <c r="E172" i="1" s="1"/>
  <c r="C173" i="1"/>
  <c r="E173" i="1" s="1"/>
  <c r="C174" i="1"/>
  <c r="E174" i="1" s="1"/>
  <c r="C175" i="1"/>
  <c r="E175" i="1" s="1"/>
  <c r="C176" i="1"/>
  <c r="E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4" i="1"/>
  <c r="E14" i="1" s="1"/>
  <c r="L5" i="1" a="1"/>
  <c r="L5" i="1" s="1"/>
  <c r="I5" i="1" a="1"/>
  <c r="I5" i="1" s="1"/>
  <c r="A14" i="1" a="1"/>
  <c r="A14" i="1" s="1"/>
  <c r="F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<sst xmlns="http://schemas.openxmlformats.org/spreadsheetml/2006/main" count="1002" uniqueCount="516">
  <si>
    <t>Cable Assembly Name</t>
  </si>
  <si>
    <t>Connector P1</t>
  </si>
  <si>
    <t>Connector P2</t>
  </si>
  <si>
    <t>Number of wires</t>
  </si>
  <si>
    <t>Wire sections</t>
  </si>
  <si>
    <t>Input wire data below</t>
  </si>
  <si>
    <t>CONNECTOR DATA</t>
  </si>
  <si>
    <t>WIRE DATA</t>
  </si>
  <si>
    <t>Model Check</t>
  </si>
  <si>
    <t>Wire Pin Data</t>
  </si>
  <si>
    <t>P1</t>
  </si>
  <si>
    <t>P2</t>
  </si>
  <si>
    <t xml:space="preserve"> = INPUT DATA HERE</t>
  </si>
  <si>
    <t>M24308/2-11F_15S HD</t>
  </si>
  <si>
    <t>M22759/44-22-9</t>
  </si>
  <si>
    <t>101-0088746_Cable Assy for I2C QwIICBus_Pin1_BLK</t>
  </si>
  <si>
    <t>101-0088746_Cable Assy for I2C QwIICBus_Pin2_RED</t>
  </si>
  <si>
    <t>101-0088746_Cable Assy for I2C QwIICBus_Pin3_BLU</t>
  </si>
  <si>
    <t>101-0088746_Cable Assy for I2C QwIICBus_Pin4_YEL</t>
  </si>
  <si>
    <t>2000292-019_5.1Mohm Resistor to Term Block</t>
  </si>
  <si>
    <t>2204746-260_M27500-26SC2S23_26 AWG STP</t>
  </si>
  <si>
    <t>2204746-279_24AWG STP_RS422</t>
  </si>
  <si>
    <t>2211691-005_DXN2602_24 AWG STP_LVDS</t>
  </si>
  <si>
    <t>2211691-007_DXN2603_26 AWG STP_LVDS</t>
  </si>
  <si>
    <t>2433891-008_SMA male to SMA male_5ft</t>
  </si>
  <si>
    <t>2433891-010_SMA male to SMA male_10ft</t>
  </si>
  <si>
    <t>2601090-010_Etherent Cable Assy_Pin1_White/Orange</t>
  </si>
  <si>
    <t>2601090-010_Etherent Cable Assy_Pin7_White/Brown</t>
  </si>
  <si>
    <t>2601090-010_Etherent Cable Assy_Pin8_Brown</t>
  </si>
  <si>
    <t>2601090-010_Ethernet Cable Assy_Pin2_Orange</t>
  </si>
  <si>
    <t>BOB JUMPER</t>
  </si>
  <si>
    <t>DXN2602</t>
  </si>
  <si>
    <t>DXN2602-Twisted-Shielded-Pair-24awg_2211691-005</t>
  </si>
  <si>
    <t>Generic_Ethernet_STP</t>
  </si>
  <si>
    <t>Generic_Ethernet_UTP</t>
  </si>
  <si>
    <t>K20-3-507</t>
  </si>
  <si>
    <t>Lab-Flex 200</t>
  </si>
  <si>
    <t>M17/060-RG142</t>
  </si>
  <si>
    <t>M17/110-RG302</t>
  </si>
  <si>
    <t>M17/111-RG303</t>
  </si>
  <si>
    <t>M17/113-RG316</t>
  </si>
  <si>
    <t>M17/119-RG174</t>
  </si>
  <si>
    <t>M17/127-RG393</t>
  </si>
  <si>
    <t>M17/128-RG400</t>
  </si>
  <si>
    <t>M17/130-0002</t>
  </si>
  <si>
    <t>M17/130-0003</t>
  </si>
  <si>
    <t>M17/130-0004</t>
  </si>
  <si>
    <t>M17/130-RG402</t>
  </si>
  <si>
    <t>M17/131-RG403</t>
  </si>
  <si>
    <t>M17/133-00001</t>
  </si>
  <si>
    <t>M17/133-000010</t>
  </si>
  <si>
    <t>M17/133-000011</t>
  </si>
  <si>
    <t>M17/133-000012</t>
  </si>
  <si>
    <t>M17/133-000013</t>
  </si>
  <si>
    <t>M17/133-000014</t>
  </si>
  <si>
    <t>M17/133-000015</t>
  </si>
  <si>
    <t>M17/133-000016</t>
  </si>
  <si>
    <t>M17/133-000017</t>
  </si>
  <si>
    <t>M17/133-000018</t>
  </si>
  <si>
    <t>M17/133-00002</t>
  </si>
  <si>
    <t>M17/133-00003</t>
  </si>
  <si>
    <t>M17/133-00004</t>
  </si>
  <si>
    <t>M17/133-00005</t>
  </si>
  <si>
    <t>M17/133-00006</t>
  </si>
  <si>
    <t>M17/133-00007</t>
  </si>
  <si>
    <t>M17/133-00008</t>
  </si>
  <si>
    <t>M17/133-00009</t>
  </si>
  <si>
    <t>M17/133-RG405</t>
  </si>
  <si>
    <t>M17/138-00001</t>
  </si>
  <si>
    <t>M17/139-00001</t>
  </si>
  <si>
    <t>M17/152-00001</t>
  </si>
  <si>
    <t>M17/168-00002</t>
  </si>
  <si>
    <t>M17/176-00002</t>
  </si>
  <si>
    <t>M17/177-00001</t>
  </si>
  <si>
    <t>M17/183-00001</t>
  </si>
  <si>
    <t>M17/29-RG59</t>
  </si>
  <si>
    <t>M17/94-RG179</t>
  </si>
  <si>
    <t>M22759/11-10-9</t>
  </si>
  <si>
    <t>M22759/11-12-0</t>
  </si>
  <si>
    <t>M22759/11-12-0-BLK</t>
  </si>
  <si>
    <t>M22759/11-12-9</t>
  </si>
  <si>
    <t>M22759/11-12-9-WHT</t>
  </si>
  <si>
    <t>M22759/11-16-0</t>
  </si>
  <si>
    <t>M22759/11-16-0-BLK</t>
  </si>
  <si>
    <t>M22759/11-16-5</t>
  </si>
  <si>
    <t>M22759/11-16-5-GRN</t>
  </si>
  <si>
    <t>M22759/11-16-9</t>
  </si>
  <si>
    <t>M22759/11-16-9-WHT</t>
  </si>
  <si>
    <t>M22759/11-20-0</t>
  </si>
  <si>
    <t>M22759/11-20-0-BLK</t>
  </si>
  <si>
    <t>M22759/11-20-9</t>
  </si>
  <si>
    <t>M22759/11-20-9-WHT</t>
  </si>
  <si>
    <t>M22759/11-22-0</t>
  </si>
  <si>
    <t>M22759/11-22-0-BLK</t>
  </si>
  <si>
    <t>M22759/11-22-1</t>
  </si>
  <si>
    <t>M22759/11-22-2</t>
  </si>
  <si>
    <t>M22759/11-22-3</t>
  </si>
  <si>
    <t>M22759/11-22-4</t>
  </si>
  <si>
    <t>M22759/11-22-5</t>
  </si>
  <si>
    <t>M22759/11-22-6</t>
  </si>
  <si>
    <t>M22759/11-22-7</t>
  </si>
  <si>
    <t>M22759/11-22-8</t>
  </si>
  <si>
    <t>M22759/11-22-9</t>
  </si>
  <si>
    <t>M22759/11-22-9-WHT</t>
  </si>
  <si>
    <t>M22759/11-24-0</t>
  </si>
  <si>
    <t>M22759/11-24-1</t>
  </si>
  <si>
    <t>M22759/11-24-2</t>
  </si>
  <si>
    <t>M22759/11-24-3</t>
  </si>
  <si>
    <t>M22759/11-24-4</t>
  </si>
  <si>
    <t>M22759/11-24-5</t>
  </si>
  <si>
    <t>M22759/11-24-6</t>
  </si>
  <si>
    <t>M22759/11-24-7</t>
  </si>
  <si>
    <t>M22759/11-24-8</t>
  </si>
  <si>
    <t>M22759/11-24-9</t>
  </si>
  <si>
    <t>M22759/11-26-0</t>
  </si>
  <si>
    <t>M22759/11-26-9-WHT</t>
  </si>
  <si>
    <t>M22759/16-14-9</t>
  </si>
  <si>
    <t>M22759/16-16=-9</t>
  </si>
  <si>
    <t>M22759/16-18-9</t>
  </si>
  <si>
    <t>M22759/16-20-9</t>
  </si>
  <si>
    <t>M22759/16-22-9</t>
  </si>
  <si>
    <t>M22759/34-20-9</t>
  </si>
  <si>
    <t>M22759/34-22-0</t>
  </si>
  <si>
    <t>M22759/34-22-1</t>
  </si>
  <si>
    <t>M22759/34-22-2</t>
  </si>
  <si>
    <t>M22759/34-22-3</t>
  </si>
  <si>
    <t>M22759/34-22-4</t>
  </si>
  <si>
    <t>M22759/34-22-5</t>
  </si>
  <si>
    <t>M22759/34-22-6</t>
  </si>
  <si>
    <t>M22759/34-22-7</t>
  </si>
  <si>
    <t>M22759/34-22-8</t>
  </si>
  <si>
    <t>M22759/34-22-9</t>
  </si>
  <si>
    <t>M22759/44-22-0</t>
  </si>
  <si>
    <t>M22759/44-24-9</t>
  </si>
  <si>
    <t>M22759/44-26-9</t>
  </si>
  <si>
    <t>M24640/15-01UO</t>
  </si>
  <si>
    <t>M24640/15-02UO</t>
  </si>
  <si>
    <t>M27500-12LE2S03</t>
  </si>
  <si>
    <t>M27500-12LE2S09</t>
  </si>
  <si>
    <t>M27500-12LE2S14</t>
  </si>
  <si>
    <t>M27500-12LE2S23</t>
  </si>
  <si>
    <t>M27500-12LE2T03</t>
  </si>
  <si>
    <t>M27500-12LE2T09</t>
  </si>
  <si>
    <t>M27500-12RC2U00</t>
  </si>
  <si>
    <t>M27500-12RC3U00</t>
  </si>
  <si>
    <t>M27500-12RE2T03</t>
  </si>
  <si>
    <t>M27500-12RE2U00</t>
  </si>
  <si>
    <t>M27500-16LE2U00</t>
  </si>
  <si>
    <t>M27500-16LE3T03</t>
  </si>
  <si>
    <t>M27500-16RC2S03</t>
  </si>
  <si>
    <t>M27500-16RC3T03</t>
  </si>
  <si>
    <t>M27500-16RE2U00</t>
  </si>
  <si>
    <t>M27500-16TE2S03</t>
  </si>
  <si>
    <t>M27500-20RE2T03</t>
  </si>
  <si>
    <t>M27500-20RE2U00</t>
  </si>
  <si>
    <t>M27500-20TE2U00</t>
  </si>
  <si>
    <t>M27500-22LE2U00</t>
  </si>
  <si>
    <t>M27500-22RC2U00</t>
  </si>
  <si>
    <t>M27500-22SB2T23</t>
  </si>
  <si>
    <t>M27500-22SB3T23</t>
  </si>
  <si>
    <t>M27500-22SB4T23</t>
  </si>
  <si>
    <t>M27500-22SC1T23</t>
  </si>
  <si>
    <t>M27500-22SC2T23</t>
  </si>
  <si>
    <t>M27500-22TE1T14</t>
  </si>
  <si>
    <t>M27500-22TE2T14</t>
  </si>
  <si>
    <t>M27500-22TE2V64</t>
  </si>
  <si>
    <t>M27500-22TE3T14</t>
  </si>
  <si>
    <t>M27500-22TE4T14</t>
  </si>
  <si>
    <t>M27500-24LE2S03</t>
  </si>
  <si>
    <t>M27500-24LE2T03</t>
  </si>
  <si>
    <t>M27500-24LE2U00</t>
  </si>
  <si>
    <t>M27500-24LE3S03</t>
  </si>
  <si>
    <t>M27500-24LE3T03</t>
  </si>
  <si>
    <t>M27500-24LE3U00</t>
  </si>
  <si>
    <t>M27500-24TE1T14</t>
  </si>
  <si>
    <t>M27500-24TE2T14</t>
  </si>
  <si>
    <t>M27500-24TE3T14</t>
  </si>
  <si>
    <t>M27500-24TE4T14</t>
  </si>
  <si>
    <t>M27500-26SC2S09</t>
  </si>
  <si>
    <t>M27500A24SC2U00</t>
  </si>
  <si>
    <t>M27500-A26SR2U00</t>
  </si>
  <si>
    <t>M27500A30SC2U00</t>
  </si>
  <si>
    <t>M27500U10SM2U00-9-9</t>
  </si>
  <si>
    <t>M85045/16-01</t>
  </si>
  <si>
    <t>RG174/U</t>
  </si>
  <si>
    <t>RG178</t>
  </si>
  <si>
    <t>RG-58/U</t>
  </si>
  <si>
    <t>TE-1619/1CORE</t>
  </si>
  <si>
    <t>TE-1619/2CORE</t>
  </si>
  <si>
    <t>TE-1619/3CORE</t>
  </si>
  <si>
    <t>TE-1619/4CORE</t>
  </si>
  <si>
    <t>TE-2019/1CORE</t>
  </si>
  <si>
    <t>TE-2019/2CORE</t>
  </si>
  <si>
    <t>TE-2019/3CORE</t>
  </si>
  <si>
    <t>TE-2019/4CORE</t>
  </si>
  <si>
    <t>TE-2219/1CORE</t>
  </si>
  <si>
    <t>TE-2219/2CORE</t>
  </si>
  <si>
    <t>TE-2219/3CORE</t>
  </si>
  <si>
    <t>TE-2219/4CORE</t>
  </si>
  <si>
    <t>Twisted 3 Wire - 24AWG</t>
  </si>
  <si>
    <t>Twisted 5 Wire - 24AWG</t>
  </si>
  <si>
    <t>Twisted Pair - 24AWG</t>
  </si>
  <si>
    <t>Twisted Pair - 26AWG</t>
  </si>
  <si>
    <t>Twisted Pair - 28AWG</t>
  </si>
  <si>
    <t>Twisted Pair - 30AWG</t>
  </si>
  <si>
    <t>WAGO JUMPER</t>
  </si>
  <si>
    <t>Version</t>
  </si>
  <si>
    <t>A</t>
  </si>
  <si>
    <t>sys</t>
  </si>
  <si>
    <t>class</t>
  </si>
  <si>
    <t>I2C</t>
  </si>
  <si>
    <t>Braids</t>
  </si>
  <si>
    <t>Wires-SIMS</t>
  </si>
  <si>
    <t>Cables Multi-Conductor</t>
  </si>
  <si>
    <t>Generics</t>
  </si>
  <si>
    <t>Cables</t>
  </si>
  <si>
    <t>Cables RF</t>
  </si>
  <si>
    <t>Wires</t>
  </si>
  <si>
    <t>Cables Fiber Optic</t>
  </si>
  <si>
    <t>description</t>
  </si>
  <si>
    <t>CABLE ASSEMBLY,FLEXIBLE,FEMALE JUMPER,4 PIN,QWIIC</t>
  </si>
  <si>
    <t>BRAID, FLAT, 36 AWG, TIN COATED COPPER, 3/32"</t>
  </si>
  <si>
    <t>RESISTOR,5.1M,0.25W,5%,AXIAL</t>
  </si>
  <si>
    <t>CABLE,2 WIRE,26AWG,SHIELDED,XLETFE JACKET</t>
  </si>
  <si>
    <t>CABLE,2 WIRE,24AWG,SHIELDED,XLETFE JACKET</t>
  </si>
  <si>
    <t>CABLE, 2-CONDUCTOR, SHIELDED,LVDS,DXN2602, 24 AWG</t>
  </si>
  <si>
    <t>CABLE, 2-CONDUCTOR, SHIELDED,LVDS,DXN2603, 26 AWG</t>
  </si>
  <si>
    <t>CABLE ASSEMBLY,SMA,MALE TO MALE,5 FT,CC174S</t>
  </si>
  <si>
    <t>CABLE ASSEMBLY,SMA,MALE TO MALE,10 FT,CC174S</t>
  </si>
  <si>
    <t>CABLE ASSY,PATCH,CAT6A,STP,RJ45-RJ45,26AWG,PVC JKT,ORANGE,10 FT</t>
  </si>
  <si>
    <t>RS232/RS485, 22AWG, STRANDED, TINNED COPPER, FOIL &amp; BRAIDED SHIELD, 10 CONDUCTOR</t>
  </si>
  <si>
    <t>RS232 CABLE WITH 37 CONDUCTORS</t>
  </si>
  <si>
    <t>RS232, 24AWG, STRANDED, TINNED COPPER, FOIL SHIELD, 9 CONDUCTOR</t>
  </si>
  <si>
    <t>CONNECTOR,JUMPER BAR, PUSH-IN TYPE, 2 POS</t>
  </si>
  <si>
    <t>Cables, Ethernet, CAT5, Shielded Twisted Pair</t>
  </si>
  <si>
    <t>Cables, Ethernet, CAT5, Unshielded Twisted Pair</t>
  </si>
  <si>
    <t>WIRE, ELECTRICAL, EXTRUDED TFE, SILVER-COATED COPPER, 20 AWG</t>
  </si>
  <si>
    <t>COAX, TRIPLE SHIELDED</t>
  </si>
  <si>
    <t>CABLE, RF, FLEXIBLE COAX, 75 OHMS</t>
  </si>
  <si>
    <t>CABLE, RF, FLEXIBLE COAX, 50 OHMS</t>
  </si>
  <si>
    <t>CABLE, RF, SEMIRIGID COAX, 50 OHMS</t>
  </si>
  <si>
    <t>CABLE, RF, FLEXIBLE TRIAXIAL COAX, 50 OHMS</t>
  </si>
  <si>
    <t>CABLE, RF SEMIRIGID COAX, 50 OHMS</t>
  </si>
  <si>
    <t>CABLE, RF, FLEXIBLE COAX, 95 OHMS</t>
  </si>
  <si>
    <t>CABLE, RF, FLEXIBLE TWINAX</t>
  </si>
  <si>
    <t>CABLE, RF, FLEXIBLE TRIAXIAL, 95 OHMS</t>
  </si>
  <si>
    <t>WIRE, ELECTRICAL, EXTRUDED TFE, SILVER-COATED COPPER, 10 AWG</t>
  </si>
  <si>
    <t>WIRE, ELECTRICAL, EXTRUDED TFE, SILVER-COATED COPPER, 12 AWG</t>
  </si>
  <si>
    <t>WIRE, ELECTRICAL, EXTRUDED PTFE, SILVER-COATED COPPER, 12 AWG, BLACK</t>
  </si>
  <si>
    <t>WIRE, ELECTRICAL, EXTRUDED PTFE, SILVER-COATED COPPER, 12 AWG, WHITE</t>
  </si>
  <si>
    <t>WIRE, ELECTRICAL, EXTRUDED TFE, SILVER-COATED COPPER, 16 AWG</t>
  </si>
  <si>
    <t>WIRE, ELECTRICAL, EXTRUDED PTFE, SILVER-COATED COPPER, 16 AWG, BLACK</t>
  </si>
  <si>
    <t>WIRE, ELECTRICAL, EXTRUDED PTFE, SILVER-COATED COPPER, 16 AWG, GREEN</t>
  </si>
  <si>
    <t>WIRE, ELECTRICAL, EXTRUDED PTFE, SILVER-COATED COPPER, 16 AWG, WHITE</t>
  </si>
  <si>
    <t>WIRE, ELECTRICAL, EXTRUDED PTFE, SILVER-COATED COPPER, 20 AWG, BLACK</t>
  </si>
  <si>
    <t>WIRE, ELECTRICAL, EXTRUDED PTFE, SILVER-COATED COPPER, 20 AWG, WHITE</t>
  </si>
  <si>
    <t>WIRE, ELECTRICAL, EXTRUDED TFE, SILVER-COATED COPPER, 22 AWG</t>
  </si>
  <si>
    <t>WIRE, ELECTRICAL, EXTRUDED PTFE, SILVER-COATED COPPER, 22 AWG, BLACK</t>
  </si>
  <si>
    <t>WIRE, ELECTRICAL, EXTRUDED PTFE, SILVER-COATED COPPER, 22 AWG, WHITE</t>
  </si>
  <si>
    <t>WIRE, ELECTRICAL, EXTRUDED TFE, SILVER-COATED COPPER, 24 AWG</t>
  </si>
  <si>
    <t>WIRE, ELECTRICAL, EXTRUDED TFE, SILVER-COATED COPPER, 26 AWG</t>
  </si>
  <si>
    <t>WIRE, ELECTRICAL, EXTRUDED PTFE, SILVER-COATED COPPER, 26 AWG, WHITE</t>
  </si>
  <si>
    <t>WIRE, ELECTRICAL, EXTRUDED ETFE, TIN-COATED COPPER, 14 AWG</t>
  </si>
  <si>
    <t>WIRE, ELECTRICAL, EXTRUDED ETFE, TIN-COATED COPPER, 16 AWG</t>
  </si>
  <si>
    <t>WIRE, ELECTRICAL, EXTRUDED ETFE, TIN-COATED COPPER, 18 AWG</t>
  </si>
  <si>
    <t>WIRE, ELECTRICAL, EXTRUDED ETFE, TIN-COATED COPPER, 20 AWG</t>
  </si>
  <si>
    <t>WIRE, ELECTRICAL, EXTRUDED ETFE, TIN-COATED COPPER, 22 AWG</t>
  </si>
  <si>
    <t>WIRE, ELECTRICAL, FLUORPOLYMER-INSULATED, ETFE, TIN-COATED COPPER, 20 AWG</t>
  </si>
  <si>
    <t>WIRE, ELECTRICAL, FLUORPOLYMER-INSULATED, ETFE, TIN-COATED COPPER, 22 AWG</t>
  </si>
  <si>
    <t>WIRE,ELECTRICAL,XLETFE-INSULATED,22 AWG,BLACK</t>
  </si>
  <si>
    <t>WIRE, ELECTRICAL,CROSSLINKED MODIFIED ETFE, SILVER-COATED COPPER, 22 AWG</t>
  </si>
  <si>
    <t>WIRE, ELECTRICAL, CROSS-LINKED ETFE, SILVER-COATED COPPER, 26 AWG</t>
  </si>
  <si>
    <t>WIRE, ELECTRICAL, CROSSLINKED MODIFIED ETFE, SILVER-COATED COPPER, 26 AWG</t>
  </si>
  <si>
    <t>CABLE, ELECTRICAL, 600 VOLTS, TYPE 2XSAOW-3, 22 AWG</t>
  </si>
  <si>
    <t>CABLE, ELECTRICAL, 600 VOLTS, TYPE 2XSAOW-7, 22 AWG</t>
  </si>
  <si>
    <t>CABLE, ELECTRICAL, SHIELDED TWISTED PAIR, SILVER-COATED SHIELD, 12 AWG</t>
  </si>
  <si>
    <t>CABLE, ELECTRICAL, SHIELDED TWISTED PAIR, TIN-COATED SHIELD, 12 AWG</t>
  </si>
  <si>
    <t>CABLE, ELECTRICAL, TWISTED PAIR, SILVER-COATED COPPER, 12 AWG</t>
  </si>
  <si>
    <t>CABLE, ELECTRICAL, TWISTED TRIPLET, SILVER-COATED COPPER, 12 AWG</t>
  </si>
  <si>
    <t>CABLE, ELECTRICAL, TWISTED PAIR, NICKEL-COATED COPPER, 12 AWG</t>
  </si>
  <si>
    <t>CABLE, ELECTRICAL, TWISTED PAIR, NICKEL-COATED COPPER, 16 AWG</t>
  </si>
  <si>
    <t>CABLE, ELECTRICAL, SHIELDED TRIPLET, TIN-COATED SHIELD, 16 AWG</t>
  </si>
  <si>
    <t>CABLE, ELECTRICAL, SHIELDED TWISTED PAIR, SILVER-COATED SHIELD, 16 AWG</t>
  </si>
  <si>
    <t>CABLE, ELECTRICAL, SHIELDED TRIPLET, SILVER-COATED SHIELD, 16 AWG</t>
  </si>
  <si>
    <t>CABLE, ELECTRICAL, SHIELDED TWISTED PAIR, TIN-COATED SHIELD, 20 AWG</t>
  </si>
  <si>
    <t>CABLE, ELECTRICAL, TWISTED PAIR, NICKEL-COATED COPPER, 20 AWG</t>
  </si>
  <si>
    <t>CABLE, ELECTRICAL, TWISTED PAIR, NICKEL-COATED COPPER, 22 AWG</t>
  </si>
  <si>
    <t>CABLE, 2-CONDUCTOR, 22AWG, TWISTED, NO SHIELD</t>
  </si>
  <si>
    <t>CABLE, ELECTRICAL, SHIELDED TWISTED PAIR, TIN-COATED COPPER, 22 AWG</t>
  </si>
  <si>
    <t>CABLE, ELECTRICAL, SHIELDED TRIPLET, TIN-COATED SHIELD, 22 AWG</t>
  </si>
  <si>
    <t>CABLE, ELECTRICAL, SHIELDED QUAD, TIN-COATED SHIELD, 22 AWG</t>
  </si>
  <si>
    <t>CABLE, ELECTRICAL, SHIELDED WIRE, NICKEL-COATED COPPER, 22 AWG</t>
  </si>
  <si>
    <t>CABLE, ELECTRICAL, SHIELDED TWISTED PAIR XLETFE, NICKEL-COATED COPPER, 22 AWG</t>
  </si>
  <si>
    <t>CABLE, ELECTRICAL, SHIELDED WIRE, TIN-COATED COPPER, 22 AWG</t>
  </si>
  <si>
    <t>CABLE, ELECTRICAL, SHIELDED TWISTED PAIR ETFE, TIN-COATED COPPER, 22 AWG</t>
  </si>
  <si>
    <t>CABLE, ELECTRICAL, DOUBLE SHIELDED TWISTED PAIR, ETFE, TIN-COATED BRAID, 22 AWG</t>
  </si>
  <si>
    <t>CABLE, ELECTRICAL, SHIELDED TRIPLET, ETFE, TIN BRAID, 22 AWG</t>
  </si>
  <si>
    <t>CABLE, ELECTRICAL, SHIELDED QUAD, ETFE, TIN-COATED BRIAD, 22 AWG</t>
  </si>
  <si>
    <t>CABLE, ELECTRICAL, SHIELDED TWISTED PAIR, SILVER-COATED SHIELD, 24 AWG</t>
  </si>
  <si>
    <t>CABLE, ELECTRICAL, SHIELDED TWISTED PAIR, TIN-COATED SHIELD, 24 AWG</t>
  </si>
  <si>
    <t>CABLE, ELECTRICAL, TWISTED PAIR, NICKEL-COATED COPPER, 24 AWG</t>
  </si>
  <si>
    <t>CABLE, ELECTRICAL, SHIELDED TRIPLET, SILVER-COATED SHIELD, 24 AWG</t>
  </si>
  <si>
    <t>CABLE, ELECTRICAL, SHIELDED TRIPLET, TIN-COATED SHIELD, 24 AWG</t>
  </si>
  <si>
    <t>CABLE, ELECTRICAL, TWISTED TRIPLET, NICKEL-COATED COPPER, 24 AWG</t>
  </si>
  <si>
    <t>CABLE, ELECTRICAL, SHIELDED WIRE, ETFE, TIN-COATED COPPER, 24 AWG</t>
  </si>
  <si>
    <t>CABLE, ELECTRICAL, SHIELDED TWISTED PAIR, ETFE, TIN-COATED COPPER, 24 AWG</t>
  </si>
  <si>
    <t>CABLE, ELECTRICAL, SHIELDED TRIPLET, ETFE, TIN BRAID, 24 AWG</t>
  </si>
  <si>
    <t>CABLE, ELECTRICAL, SHIELDED QUAD, ETFE, TIN-COATED BRIAD, 24 AWG</t>
  </si>
  <si>
    <t>CABLE,2 WIRE,26AWG,SHIELDED,FEP JACKET</t>
  </si>
  <si>
    <t>CABLE,2 WIRE,24 AWG,UNSHIELDED,NO JACKET</t>
  </si>
  <si>
    <t>CABLE,2 WIRE,26 AWG,UNSHIELDED,NO JACKET</t>
  </si>
  <si>
    <t>CABLE,2 WIRE,30 AWG,UNSHIELDED,NO JACKET</t>
  </si>
  <si>
    <t>CABLE,2 WIRE,10 AWG,UNSHIELDED,NO JACKET,WHITE/WHITE</t>
  </si>
  <si>
    <t>CABLE, FIBER OPTIC SHIPBOARD, 1 FIBER</t>
  </si>
  <si>
    <t>COAX RG174/U</t>
  </si>
  <si>
    <t>COAX RG178</t>
  </si>
  <si>
    <t>Coax cable, RG-58, 50Ω low loss</t>
  </si>
  <si>
    <t>CABLE, ELECTRICAL, SHIELDED WIRE, ETFE/ETFE, TPC, 600V/150</t>
  </si>
  <si>
    <t>CABLE, ELECTRICAL, ETFE/ETFE,TPC,600V/150, 2-Core</t>
  </si>
  <si>
    <t>CABLE, ELECTRICAL, ETFE/ETFE, TPC, 600V/150</t>
  </si>
  <si>
    <t>CABLE ELECTRICAL, ETFE/ETFE, TPC, 600V/150</t>
  </si>
  <si>
    <t>M16874/4 - 24AWG - Color Coded</t>
  </si>
  <si>
    <t>M16874/4 - 26AWG - Color Coded</t>
  </si>
  <si>
    <t>WIRE, ELECTRICAL, W/FRPP, STRANDED COPPER, 28 AWG</t>
  </si>
  <si>
    <t>WIRE, ELECTRICAL, W/FRPP, STRANDED COPPER, 30 AWG</t>
  </si>
  <si>
    <t>100P Circular</t>
  </si>
  <si>
    <t>100S Circular</t>
  </si>
  <si>
    <t>104P-HD-PCB</t>
  </si>
  <si>
    <t>104S-HD-PCB</t>
  </si>
  <si>
    <t>15P-HD-PCB</t>
  </si>
  <si>
    <t>15P-SD-PCB</t>
  </si>
  <si>
    <t>15S-HD-PCB</t>
  </si>
  <si>
    <t>15S-SD-PCB</t>
  </si>
  <si>
    <t>25P-SD-PCB</t>
  </si>
  <si>
    <t>25S-SD-PCB</t>
  </si>
  <si>
    <t>26P-HD-PCB</t>
  </si>
  <si>
    <t>26S-HD-PCB</t>
  </si>
  <si>
    <t>311P407-1P-B-12</t>
  </si>
  <si>
    <t>311P407-1S-B-12</t>
  </si>
  <si>
    <t>311P407-2S-B-12</t>
  </si>
  <si>
    <t>311P407-3S-B-12</t>
  </si>
  <si>
    <t>311P407-4S-B-12</t>
  </si>
  <si>
    <t>37P-SD-PCB</t>
  </si>
  <si>
    <t>37S-SD-PCB</t>
  </si>
  <si>
    <t>44P-HD-PCB</t>
  </si>
  <si>
    <t>44S-HD-PCB</t>
  </si>
  <si>
    <t>50P-SD-PCB</t>
  </si>
  <si>
    <t>50S-SD-PCB</t>
  </si>
  <si>
    <t>62P-HD-PCB</t>
  </si>
  <si>
    <t>62S-HD-PCB</t>
  </si>
  <si>
    <t>78P-HD-PCB</t>
  </si>
  <si>
    <t>78S-HD-PCB</t>
  </si>
  <si>
    <t>9P-SD-PCB</t>
  </si>
  <si>
    <t>9S-SD-PCB</t>
  </si>
  <si>
    <t>ComboD Socket-24 Position-7#8-17#20</t>
  </si>
  <si>
    <t>ComboD-Pins-7#8-17#20</t>
  </si>
  <si>
    <t>GMR7580-15S2BVU</t>
  </si>
  <si>
    <t>GMR7580-9S2BVU</t>
  </si>
  <si>
    <t>GMR7590-25P2BVU</t>
  </si>
  <si>
    <t>GMR7590-51P2BVU</t>
  </si>
  <si>
    <t>GMR7590-9P2BVU</t>
  </si>
  <si>
    <t>M24308/2-12F_26S HD</t>
  </si>
  <si>
    <t>M24308/2-13F_44S HD</t>
  </si>
  <si>
    <t>M24308/2-14F_62S HD</t>
  </si>
  <si>
    <t>M24308/2-15F_78S HD</t>
  </si>
  <si>
    <t>M24308/2-15F_78S HD-BCKSHL</t>
  </si>
  <si>
    <t>M24308/2-16F_104S HD</t>
  </si>
  <si>
    <t>M24308/2-16F_104S HD-BCKSHL</t>
  </si>
  <si>
    <t>M24308/2-1F_9S SD</t>
  </si>
  <si>
    <t>M24308/2-2F_15S SD</t>
  </si>
  <si>
    <t>M24308/2-3F_25S SD</t>
  </si>
  <si>
    <t>M24308/2-4F_37S SD</t>
  </si>
  <si>
    <t>M24308/2-5F_50S SD</t>
  </si>
  <si>
    <t>M24308/4-11F_15P HD</t>
  </si>
  <si>
    <t>M24308/4-12F_26P HD</t>
  </si>
  <si>
    <t>M24308/4-13F_44P HD</t>
  </si>
  <si>
    <t>M24308/4-14F_62P HD</t>
  </si>
  <si>
    <t>M24308/4-15F_78P HD</t>
  </si>
  <si>
    <t>M24308/4-15F_78P HD-BCKSHL</t>
  </si>
  <si>
    <t>M24308/4-16F_104P HD</t>
  </si>
  <si>
    <t>M24308/4-16F_104P HD-BCKSHL</t>
  </si>
  <si>
    <t>M24308/4-1F_9P SD</t>
  </si>
  <si>
    <t>M24308/4-2F_15P SD</t>
  </si>
  <si>
    <t>M24308/4-3F_25P SD</t>
  </si>
  <si>
    <t>M24308/4-3F_25P SD-BCKSHL</t>
  </si>
  <si>
    <t>M24308/4-4F_37P SD</t>
  </si>
  <si>
    <t>M24308/4-5F_50P SD</t>
  </si>
  <si>
    <t>M24308/4-5F_50P SD-BCKSHL</t>
  </si>
  <si>
    <t>M39012/55-3007</t>
  </si>
  <si>
    <t>M39012/55-3009</t>
  </si>
  <si>
    <t>M39012/55-3026</t>
  </si>
  <si>
    <t>M39012/55-4009</t>
  </si>
  <si>
    <t>M39012/59-3007</t>
  </si>
  <si>
    <t>M39012/59-3009</t>
  </si>
  <si>
    <t>M39012/59-3026</t>
  </si>
  <si>
    <t>M39012/59-4009</t>
  </si>
  <si>
    <t>Micro-D 100P</t>
  </si>
  <si>
    <t>Micro-D 100P PCB</t>
  </si>
  <si>
    <t>Micro-D 100S</t>
  </si>
  <si>
    <t>Micro-D 100S PCB</t>
  </si>
  <si>
    <t>Micro-D 15P</t>
  </si>
  <si>
    <t>Micro-D 15S</t>
  </si>
  <si>
    <t>Micro-D 21P</t>
  </si>
  <si>
    <t>Micro-D 21S</t>
  </si>
  <si>
    <t>Micro-D 25P</t>
  </si>
  <si>
    <t>Micro-D 25S</t>
  </si>
  <si>
    <t>Micro-D 37P PCB</t>
  </si>
  <si>
    <t>Micro-D 37S</t>
  </si>
  <si>
    <t>Micro-D 51P</t>
  </si>
  <si>
    <t>Micro-D 51S PCB</t>
  </si>
  <si>
    <t>Micro-D 9P</t>
  </si>
  <si>
    <t>Micro-D 9S PCB</t>
  </si>
  <si>
    <t>Nano-D 51P</t>
  </si>
  <si>
    <t>Nano-D 51S</t>
  </si>
  <si>
    <t>SCSI-3 68P</t>
  </si>
  <si>
    <t>SCSI-3 68S PCB</t>
  </si>
  <si>
    <t>SDD104S4R700G</t>
  </si>
  <si>
    <t>SDD15S4R700G</t>
  </si>
  <si>
    <t>SDD44S4R700G</t>
  </si>
  <si>
    <t>SND9M5R700D</t>
  </si>
  <si>
    <t>SND9S5R700G</t>
  </si>
  <si>
    <t>TEMPLATE_COMPONENT_DONT_DELETE</t>
  </si>
  <si>
    <t>VHDCI 68P</t>
  </si>
  <si>
    <t>VHDCI 68S PCB</t>
  </si>
  <si>
    <t>Connectors Circular-SIMS</t>
  </si>
  <si>
    <t>Connectors D-Sub-SIMS</t>
  </si>
  <si>
    <t>Connectors - SCAU</t>
  </si>
  <si>
    <t>Connectors Coaxial</t>
  </si>
  <si>
    <t>Connectors VHDCI-SCSI</t>
  </si>
  <si>
    <t>CONNECTOR, JAM NUT RCPT, SERIES 3, 100 CONTACTS</t>
  </si>
  <si>
    <t>CONNECTOR, RECTANGULAR, D-SUB, HIGH DENSITY, PCB, PIN, 104 CONTACTS</t>
  </si>
  <si>
    <t>CONNECTOR, RECTANGULAR, D-SUB, HIGH DENSITY, PCB, SOCKET, 104 CONTACTS</t>
  </si>
  <si>
    <t>CONNECTOR, RECTANGULAR, D-SUB, HIGH DENSITY, PCB, PIN, 15 CONTACTS</t>
  </si>
  <si>
    <t>CONNECTOR, RECTANGULAR, D-SUB, STANDARD DENSITY, PCB, PIN, 15 CONTACTS</t>
  </si>
  <si>
    <t>CONNECTOR, RECTANGULAR, D-SUB, HIGH DENSITY, PCB, RECEPTACLE, 15 CONTACTS</t>
  </si>
  <si>
    <t>CONNECTOR, RECTANGULAR, D-SUB, STANDARD DENSITY, PCB, PIN, 25 CONTACTS</t>
  </si>
  <si>
    <t>CONNECTOR, RECTANGULAR, D-SUB, STANDARD DENSITY, PCB, RECEPTACLE, 25 CONTACTS</t>
  </si>
  <si>
    <t>CONNECTOR, RECTANGULAR, D-SUB, HIGH DENSITY, PCB, PIN, 26 CONTACTS</t>
  </si>
  <si>
    <t>CONNECTOR, RECTANGULAR, D-SUB, HIGH DENSITY, PCB, RECEPTACLE, 26 CONTACTS</t>
  </si>
  <si>
    <t>CONNECTOR, D-SUB,15 PIN</t>
  </si>
  <si>
    <t>CONNECTOR, D-SUB,15 SOCKET</t>
  </si>
  <si>
    <t>CONNECTOR,D-SUB,RECEPTACLE,26 SOCKET</t>
  </si>
  <si>
    <t>CONNECTOR, D-SUB, 44 SOCKET</t>
  </si>
  <si>
    <t>CONNECTOR, D-SUB, 62 SOCKET</t>
  </si>
  <si>
    <t>CONNECTOR, RECTANGULAR, D-SUB, STANDARD DENSITY, PCB, PIN, 37 CONTACTS</t>
  </si>
  <si>
    <t>CONNECTOR, RECTANGULAR, D-SUB, STANDARD DENSITY, PCB, RECEPTACLE, 37 CONTACTS</t>
  </si>
  <si>
    <t>CONNECTOR, RECTANGULAR, D-SUB, HIGH DENSITY, PCB, PIN, 44 CONTACTS</t>
  </si>
  <si>
    <t>CONNECTOR, RECTANGULAR, D-SUB, HIGH DENSITY, PCB, RECEPTACLE, 44 CONTACTS</t>
  </si>
  <si>
    <t>CONNECTOR, RECTANGULAR, D-SUB, STANDARD DENSITY, PCB, PIN, 50 CONTACTS</t>
  </si>
  <si>
    <t>CONNECTOR, RECTANGULAR, D-SUB, STANDARD DENSITY, PCB, SOCKET, 50 CONTACTS</t>
  </si>
  <si>
    <t>CONNECTOR, RECTANGULAR, D-SUB, HIGH DENSITY, PCB, PIN, 62 CONTACTS</t>
  </si>
  <si>
    <t>CONNECTOR, RECTANGULAR, D-SUB, HIGH DENSITY, PCB, SOCKET, 62 CONTACTS</t>
  </si>
  <si>
    <t>CONNECTOR, RECTANGULAR, D-SUB, HIGH DENSITY, PCB, PIN, 78 CONTACTS</t>
  </si>
  <si>
    <t>CONNECTOR, RECTANGULAR, D-SUB, HIGH DENSITY, PCB, SOCKET, 78 CONTACTS</t>
  </si>
  <si>
    <t>CONNECTOR, RECTANGULAR, D-SUB, STANDARD DENSITY, PCB, PIN, 9 CONTACTS</t>
  </si>
  <si>
    <t>CONNECTOR, RECTANGULAR, D-SUB, STANDARD DENSITY, PCB, RECEPTACLE, 9 CONTACTS</t>
  </si>
  <si>
    <t>CONNECTOR,D-SUB,RECEPT,17#20 SOCKET,7#8 LESS CONTACT,STRAIGHT,DDMM24W7</t>
  </si>
  <si>
    <t>CONNECTOR,D-SUB,PLUG,17#20 PIN &amp; 7#8 LESS CONTACT,STRAIGHT</t>
  </si>
  <si>
    <t>PWA CONNECTOR,SEAL,MICRO-D,RECEPTACLE,15 SOCKET,STRAIGHT,GMR7580</t>
  </si>
  <si>
    <t>CONNECTOR,MICRO-D,RECEPTACLE,9 SOCKET,STRAIGHT,PCB,GMR7580</t>
  </si>
  <si>
    <t>CONNECTOR,MICRO-D,MALE,25 PIN,PCB,RIGHT ANGLE,GMR7590</t>
  </si>
  <si>
    <t>CONNECTOR,MICRO-D,MALE,51 PIN,PCB,RIGHT ANGLE,GMR7590</t>
  </si>
  <si>
    <t>CONNECTOR,MICRO-D,MALE,9 PIN,PCB,RIGHT ANGLE,GMR7590</t>
  </si>
  <si>
    <t>CONNECTOR, RECTANGULAR, MINIATURE, RACK &amp; PANEL, RCPT, CRIMP, 15 CONTACTS</t>
  </si>
  <si>
    <t>CONNECTOR, RECTANGULAR, MINIATURE, RACK &amp; PANEL, RCPT, CRIMP, 26 CONTACTS</t>
  </si>
  <si>
    <t>CONNECTOR, RECTANGULAR, MINIATURE, RACK &amp; PANEL, RCPT, CRIMP, 44 CONTACTS</t>
  </si>
  <si>
    <t>CONNECTOR, RECTANGULAR, MINIATURE, RACK &amp; PANEL, RCPT, CRIMP, 62 CONTACTS</t>
  </si>
  <si>
    <t>CONNECTOR, RECTANGULAR, MINIATURE, RACK &amp; PANEL, RCPT, CRIMP, 78 CONTACTS</t>
  </si>
  <si>
    <t>CONNECTOR, RECTANGULAR, MINIATURE, RACK &amp; PANEL, RCPT, CRIMP, 78 CONTACTS WITH BACKSHELL PIN FOR SHIELDS</t>
  </si>
  <si>
    <t>CONNECTOR, RECTANGULAR, MINIATURE, RACK &amp; PANEL, RCPT, CRIMP, 104 CONTACTS</t>
  </si>
  <si>
    <t>CONNECTOR, RECTANGULAR, MINIATURE, RACK &amp; PANEL, RCPT, CRIMP, 104 CONTACTS WITH BACKSHELL PIN FOR SHIELDS</t>
  </si>
  <si>
    <t>CONNECTOR, RECTANGULAR, MINIATURE, RACK &amp; PANEL, RCPT, CRIMP, 9 CONTACTS</t>
  </si>
  <si>
    <t>CONNECTOR, RECTANGULAR, MINIATURE, RACK &amp; PANEL, RCPT, CRIMP, 25 CONTACTS</t>
  </si>
  <si>
    <t>CONNECTOR, RECTANGULAR, MINIATURE, RACK &amp; PANEL, RCPT, CRIMP, 37 CONTACTS</t>
  </si>
  <si>
    <t>CONNECTOR, RECTANGULAR, MINIATURE, RACK &amp; PANEL, RCPT, CRIMP, 50 CONTACTS</t>
  </si>
  <si>
    <t>CONNECTOR, RECTANGULAR, MINIATURE, RACK &amp; PANEL, PLUG, CRIMP, 15 CONTACTS</t>
  </si>
  <si>
    <t>CONNECTOR, RECTANGULAR, MINIATURE, RACK &amp; PANEL, PLUG, CRIMP, 26 CONTACTS</t>
  </si>
  <si>
    <t>CONNECTOR, RECTANGULAR, MINIATURE, RACK &amp; PANEL, PLUG, CRIMP, 44 CONTACTS</t>
  </si>
  <si>
    <t>CONNECTOR, RECTANGULAR, MINIATURE, RACK &amp; PANEL, PLUG, CRIMP, 62 CONTACTS</t>
  </si>
  <si>
    <t>CONNECTOR, RECTANGULAR, MINIATURE, RACK &amp; PANEL, PLUG, CRIMP, 78 CONTACTS</t>
  </si>
  <si>
    <t>CONNECTOR, RECTANGULAR, MINIATURE, RACK &amp; PANEL, PLUG, CRIMP, 78 CONTACTS WITH BACKSHELL PIN FOR SHIELDS</t>
  </si>
  <si>
    <t>CONNECTOR, RECTANGULAR, MINIATURE, RACK &amp; PANEL, PLUG, CRIMP, 104 CONTACTS</t>
  </si>
  <si>
    <t>CONNECTOR, RECTANGULAR, MINIATURE, RACK &amp; PANEL, PLUG, CRIMP, 104 CONTACTS WITH BACKSHELL PIN FOR SHIELDS</t>
  </si>
  <si>
    <t>CONNECTOR, RECTANGULAR, MINIATURE, RACK &amp; PANEL, PLUG, CRIMP, 9 CONTACTS</t>
  </si>
  <si>
    <t>CONNECTOR, RECTANGULAR, MINIATURE, RACK &amp; PANEL, PLUG, CRIMP, 25 CONTACTS</t>
  </si>
  <si>
    <t>CONNECTOR, RECTANGULAR, MINIATURE, RACK &amp; PANEL, PLUG, CRIMP, 37 CONTACTS</t>
  </si>
  <si>
    <t>CONNECTOR, RECTANGULAR, MINIATURE, RACK &amp; PANEL, PLUG, CRIMP, 50 CONTACTS</t>
  </si>
  <si>
    <t>CONNECTOR, PLUG, COAXIAL, SERIES SMA, PIN, CLASS 2</t>
  </si>
  <si>
    <t>CONNECTOR, RECEPTACLE, COAXIAL, SERIES SMA, SOCKET, CLASS 2</t>
  </si>
  <si>
    <t>CONNECTOR, RECTANGULAR, MICRO-D, PCB, PINS, 100 CONTACTS</t>
  </si>
  <si>
    <t>CONNECTOR, RECTANGULAR, MICRO-D, PCB, SOCKET, 100 CONTACTS</t>
  </si>
  <si>
    <t>CONNECTOR, RECTANGULAR, MICRO-D, PCB, PINS, 37 CONTACTS</t>
  </si>
  <si>
    <t>CONNECTOR, RECTANGULAR, MICRO-D, PCB, SOCKET, 51 CONTACTS</t>
  </si>
  <si>
    <t>CONNECTOR, RECTANGULAR, MICRO-D, PCB, SOCKET, 9 CONTACTS</t>
  </si>
  <si>
    <t>CONNECTOR, RECTANGULAR, NANO-D, PIN, 51 CONTACTS</t>
  </si>
  <si>
    <t>CONNECTOR, RECTANGULAR, NANO-D, SOCKET, 51 CONTACTS</t>
  </si>
  <si>
    <t>CONNECTO, SCSI-3, PLUG, 68 CONTACTS</t>
  </si>
  <si>
    <t>CONNECTOR, SCSI-3, PCB, SOCKET, 68 CONTACTS</t>
  </si>
  <si>
    <t>CONNECTOR,D-SUB,FEMALE,104 SOCKET,RIGHT ANGLE,SDD</t>
  </si>
  <si>
    <t>CONNECTOR,D-SUB,FEMALE,15#22 SOCKET,RIGHT ANGLE</t>
  </si>
  <si>
    <t>CONNECTOR,D-SUB,FEMALE,44 SOCKET,RIGHT ANGLE,SDD</t>
  </si>
  <si>
    <t>CONNECTOR,D-SUB,MALE,9 #20 PIN,RIGHT ANGLE,SND</t>
  </si>
  <si>
    <t>CONNECTOR,D-SUB,FEMALE,9#20 SOCKET,RIGHT ANGLE</t>
  </si>
  <si>
    <t>CONNECTO, VHDCI, PLUG, 68 CONTACTS</t>
  </si>
  <si>
    <t>CONNECTO, VHDCI, PCB, SOCKET, 68 CONTACTS</t>
  </si>
  <si>
    <t>Number of wires in wire part</t>
  </si>
  <si>
    <t>Number of wires in subsection</t>
  </si>
  <si>
    <t>pins</t>
  </si>
  <si>
    <t>Number of pins</t>
  </si>
  <si>
    <t>P#</t>
  </si>
  <si>
    <t>Connector P3</t>
  </si>
  <si>
    <t>Connector P4</t>
  </si>
  <si>
    <t>Connector P5</t>
  </si>
  <si>
    <t>2627453-500</t>
  </si>
  <si>
    <t>Class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</si>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</sst>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 vertical="center"/>
    </xf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0" fillId="2" borderId="3" xfId="0" applyFill="1" applyBorder="1"/>
    <xf numFmtId="0" fontId="0" fillId="2" borderId="0" xfId="0" applyFill="1" applyAlignment="1">
      <alignment horizontal="center" vertical="center"/>
    </xf>
    <xf numFmtId="0" fontId="0" fillId="2" borderId="4" xfId="0" applyFill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12" xfId="0" applyBorder="1"/>
    <xf numFmtId="0" fontId="0" fillId="0" borderId="11" xfId="0" applyBorder="1"/>
    <xf numFmtId="0" fontId="0" fillId="0" borderId="3" xfId="0" applyBorder="1"/>
    <xf numFmtId="0" fontId="0" fillId="0" borderId="6" xfId="0" applyBorder="1"/>
    <xf numFmtId="0" fontId="0" fillId="0" borderId="13" xfId="0" applyBorder="1"/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0" xfId="0" applyFill="1" applyBorder="1"/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sdfiler2\UserShares\Zuken\SimsLibrary\Automation%20Scripts\Cable%20Generator4.xlsx" TargetMode="External"/><Relationship Id="rId1" Type="http://schemas.openxmlformats.org/officeDocument/2006/relationships/externalLinkPath" Target="file:///\\asdfiler2\UserShares\Zuken\SimsLibrary\Automation%20Scripts\Cable%20Generator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Library"/>
    </sheetNames>
    <sheetDataSet>
      <sheetData sheetId="0"/>
      <sheetData sheetId="1">
        <row r="1">
          <cell r="A1" t="str">
            <v>CONNECTOR DATA</v>
          </cell>
          <cell r="B1" t="str">
            <v>Version</v>
          </cell>
          <cell r="C1" t="str">
            <v>class</v>
          </cell>
          <cell r="D1" t="str">
            <v>description</v>
          </cell>
        </row>
        <row r="2">
          <cell r="A2" t="str">
            <v>100P Circular</v>
          </cell>
          <cell r="B2">
            <v>1</v>
          </cell>
          <cell r="C2" t="str">
            <v>Connectors Circular-SIMS</v>
          </cell>
          <cell r="D2" t="str">
            <v>CONNECTOR, JAM NUT RCPT, SERIES 3, 100 CONTACTS</v>
          </cell>
        </row>
        <row r="3">
          <cell r="A3" t="str">
            <v>100S Circular</v>
          </cell>
          <cell r="B3">
            <v>1</v>
          </cell>
          <cell r="C3" t="str">
            <v>Connectors Circular-SIMS</v>
          </cell>
          <cell r="D3" t="str">
            <v>CONNECTOR, JAM NUT RCPT, SERIES 3, 100 CONTACTS</v>
          </cell>
        </row>
        <row r="4">
          <cell r="A4" t="str">
            <v>104P-HD-PCB</v>
          </cell>
          <cell r="B4">
            <v>1</v>
          </cell>
          <cell r="C4" t="str">
            <v>Connectors D-Sub-SIMS</v>
          </cell>
          <cell r="D4" t="str">
            <v>CONNECTOR, RECTANGULAR, D-SUB, HIGH DENSITY, PCB, PIN, 104 CONTACTS</v>
          </cell>
        </row>
        <row r="5">
          <cell r="A5" t="str">
            <v>104S-HD-PCB</v>
          </cell>
          <cell r="B5">
            <v>1</v>
          </cell>
          <cell r="C5" t="str">
            <v>Connectors D-Sub-SIMS</v>
          </cell>
          <cell r="D5" t="str">
            <v>CONNECTOR, RECTANGULAR, D-SUB, HIGH DENSITY, PCB, SOCKET, 104 CONTACTS</v>
          </cell>
        </row>
        <row r="6">
          <cell r="A6" t="str">
            <v>15P-HD-PCB</v>
          </cell>
          <cell r="B6">
            <v>1</v>
          </cell>
          <cell r="C6" t="str">
            <v>Connectors D-Sub-SIMS</v>
          </cell>
          <cell r="D6" t="str">
            <v>CONNECTOR, RECTANGULAR, D-SUB, HIGH DENSITY, PCB, PIN, 15 CONTACTS</v>
          </cell>
        </row>
        <row r="7">
          <cell r="A7" t="str">
            <v>15P-SD-PCB</v>
          </cell>
          <cell r="B7">
            <v>1</v>
          </cell>
          <cell r="C7" t="str">
            <v>Connectors D-Sub-SIMS</v>
          </cell>
          <cell r="D7" t="str">
            <v>CONNECTOR, RECTANGULAR, D-SUB, STANDARD DENSITY, PCB, PIN, 15 CONTACTS</v>
          </cell>
        </row>
        <row r="8">
          <cell r="A8" t="str">
            <v>15S-HD-PCB</v>
          </cell>
          <cell r="B8">
            <v>1</v>
          </cell>
          <cell r="C8" t="str">
            <v>Connectors D-Sub-SIMS</v>
          </cell>
          <cell r="D8" t="str">
            <v>CONNECTOR, RECTANGULAR, D-SUB, HIGH DENSITY, PCB, RECEPTACLE, 15 CONTACTS</v>
          </cell>
        </row>
        <row r="9">
          <cell r="A9" t="str">
            <v>15S-SD-PCB</v>
          </cell>
          <cell r="B9">
            <v>1</v>
          </cell>
          <cell r="C9" t="str">
            <v>Connectors D-Sub-SIMS</v>
          </cell>
          <cell r="D9" t="str">
            <v>CONNECTOR, RECTANGULAR, D-SUB, STANDARD DENSITY, PCB, PIN, 15 CONTACTS</v>
          </cell>
        </row>
        <row r="10">
          <cell r="A10" t="str">
            <v>25P-SD-PCB</v>
          </cell>
          <cell r="B10">
            <v>1</v>
          </cell>
          <cell r="C10" t="str">
            <v>Connectors D-Sub-SIMS</v>
          </cell>
          <cell r="D10" t="str">
            <v>CONNECTOR, RECTANGULAR, D-SUB, STANDARD DENSITY, PCB, PIN, 25 CONTACTS</v>
          </cell>
        </row>
        <row r="11">
          <cell r="A11" t="str">
            <v>25S-SD-PCB</v>
          </cell>
          <cell r="B11">
            <v>1</v>
          </cell>
          <cell r="C11" t="str">
            <v>Connectors D-Sub-SIMS</v>
          </cell>
          <cell r="D11" t="str">
            <v>CONNECTOR, RECTANGULAR, D-SUB, STANDARD DENSITY, PCB, RECEPTACLE, 25 CONTACTS</v>
          </cell>
        </row>
        <row r="12">
          <cell r="A12" t="str">
            <v>26P-HD-PCB</v>
          </cell>
          <cell r="B12">
            <v>1</v>
          </cell>
          <cell r="C12" t="str">
            <v>Connectors D-Sub-SIMS</v>
          </cell>
          <cell r="D12" t="str">
            <v>CONNECTOR, RECTANGULAR, D-SUB, HIGH DENSITY, PCB, PIN, 26 CONTACTS</v>
          </cell>
        </row>
        <row r="13">
          <cell r="A13" t="str">
            <v>26S-HD-PCB</v>
          </cell>
          <cell r="B13">
            <v>1</v>
          </cell>
          <cell r="C13" t="str">
            <v>Connectors D-Sub-SIMS</v>
          </cell>
          <cell r="D13" t="str">
            <v>CONNECTOR, RECTANGULAR, D-SUB, HIGH DENSITY, PCB, RECEPTACLE, 26 CONTACTS</v>
          </cell>
        </row>
        <row r="14">
          <cell r="A14" t="str">
            <v>311P407-1P-B-12</v>
          </cell>
          <cell r="B14">
            <v>1</v>
          </cell>
          <cell r="C14" t="str">
            <v>Connectors - SCAU</v>
          </cell>
          <cell r="D14" t="str">
            <v>CONNECTOR, D-SUB,15 PIN</v>
          </cell>
        </row>
        <row r="15">
          <cell r="A15" t="str">
            <v>311P407-1S-B-12</v>
          </cell>
          <cell r="B15">
            <v>1</v>
          </cell>
          <cell r="C15" t="str">
            <v>Connectors - SCAU</v>
          </cell>
          <cell r="D15" t="str">
            <v>CONNECTOR, D-SUB,15 SOCKET</v>
          </cell>
        </row>
        <row r="16">
          <cell r="A16" t="str">
            <v>311P407-2S-B-12</v>
          </cell>
          <cell r="B16">
            <v>1</v>
          </cell>
          <cell r="C16" t="str">
            <v>Connectors - SCAU</v>
          </cell>
          <cell r="D16" t="str">
            <v>CONNECTOR,D-SUB,RECEPTACLE,26 SOCKET</v>
          </cell>
        </row>
        <row r="17">
          <cell r="A17" t="str">
            <v>311P407-3S-B-12</v>
          </cell>
          <cell r="B17">
            <v>1</v>
          </cell>
          <cell r="C17" t="str">
            <v>Connectors - SCAU</v>
          </cell>
          <cell r="D17" t="str">
            <v>CONNECTOR, D-SUB, 44 SOCKET</v>
          </cell>
        </row>
        <row r="18">
          <cell r="A18" t="str">
            <v>311P407-4S-B-12</v>
          </cell>
          <cell r="B18">
            <v>1</v>
          </cell>
          <cell r="C18" t="str">
            <v>Connectors - SCAU</v>
          </cell>
          <cell r="D18" t="str">
            <v>CONNECTOR, D-SUB, 62 SOCKET</v>
          </cell>
        </row>
        <row r="19">
          <cell r="A19" t="str">
            <v>37P-SD-PCB</v>
          </cell>
          <cell r="B19">
            <v>1</v>
          </cell>
          <cell r="C19" t="str">
            <v>Connectors D-Sub-SIMS</v>
          </cell>
          <cell r="D19" t="str">
            <v>CONNECTOR, RECTANGULAR, D-SUB, STANDARD DENSITY, PCB, PIN, 37 CONTACTS</v>
          </cell>
        </row>
        <row r="20">
          <cell r="A20" t="str">
            <v>37S-SD-PCB</v>
          </cell>
          <cell r="B20">
            <v>1</v>
          </cell>
          <cell r="C20" t="str">
            <v>Connectors D-Sub-SIMS</v>
          </cell>
          <cell r="D20" t="str">
            <v>CONNECTOR, RECTANGULAR, D-SUB, STANDARD DENSITY, PCB, RECEPTACLE, 37 CONTACTS</v>
          </cell>
        </row>
        <row r="21">
          <cell r="A21" t="str">
            <v>44P-HD-PCB</v>
          </cell>
          <cell r="B21">
            <v>1</v>
          </cell>
          <cell r="C21" t="str">
            <v>Connectors D-Sub-SIMS</v>
          </cell>
          <cell r="D21" t="str">
            <v>CONNECTOR, RECTANGULAR, D-SUB, HIGH DENSITY, PCB, PIN, 44 CONTACTS</v>
          </cell>
        </row>
        <row r="22">
          <cell r="A22" t="str">
            <v>44S-HD-PCB</v>
          </cell>
          <cell r="B22">
            <v>1</v>
          </cell>
          <cell r="C22" t="str">
            <v>Connectors D-Sub-SIMS</v>
          </cell>
          <cell r="D22" t="str">
            <v>CONNECTOR, RECTANGULAR, D-SUB, HIGH DENSITY, PCB, RECEPTACLE, 44 CONTACTS</v>
          </cell>
        </row>
        <row r="23">
          <cell r="A23" t="str">
            <v>50P-SD-PCB</v>
          </cell>
          <cell r="B23">
            <v>1</v>
          </cell>
          <cell r="C23" t="str">
            <v>Connectors D-Sub-SIMS</v>
          </cell>
          <cell r="D23" t="str">
            <v>CONNECTOR, RECTANGULAR, D-SUB, STANDARD DENSITY, PCB, PIN, 50 CONTACTS</v>
          </cell>
        </row>
        <row r="24">
          <cell r="A24" t="str">
            <v>50S-SD-PCB</v>
          </cell>
          <cell r="B24">
            <v>1</v>
          </cell>
          <cell r="C24" t="str">
            <v>Connectors D-Sub-SIMS</v>
          </cell>
          <cell r="D24" t="str">
            <v>CONNECTOR, RECTANGULAR, D-SUB, STANDARD DENSITY, PCB, SOCKET, 50 CONTACTS</v>
          </cell>
        </row>
        <row r="25">
          <cell r="A25" t="str">
            <v>62P-HD-PCB</v>
          </cell>
          <cell r="B25">
            <v>1</v>
          </cell>
          <cell r="C25" t="str">
            <v>Connectors D-Sub-SIMS</v>
          </cell>
          <cell r="D25" t="str">
            <v>CONNECTOR, RECTANGULAR, D-SUB, HIGH DENSITY, PCB, PIN, 62 CONTACTS</v>
          </cell>
        </row>
        <row r="26">
          <cell r="A26" t="str">
            <v>62S-HD-PCB</v>
          </cell>
          <cell r="B26">
            <v>1</v>
          </cell>
          <cell r="C26" t="str">
            <v>Connectors D-Sub-SIMS</v>
          </cell>
          <cell r="D26" t="str">
            <v>CONNECTOR, RECTANGULAR, D-SUB, HIGH DENSITY, PCB, SOCKET, 62 CONTACTS</v>
          </cell>
        </row>
        <row r="27">
          <cell r="A27" t="str">
            <v>78P-HD-PCB</v>
          </cell>
          <cell r="B27">
            <v>1</v>
          </cell>
          <cell r="C27" t="str">
            <v>Connectors D-Sub-SIMS</v>
          </cell>
          <cell r="D27" t="str">
            <v>CONNECTOR, RECTANGULAR, D-SUB, HIGH DENSITY, PCB, PIN, 78 CONTACTS</v>
          </cell>
        </row>
        <row r="28">
          <cell r="A28" t="str">
            <v>78S-HD-PCB</v>
          </cell>
          <cell r="B28">
            <v>1</v>
          </cell>
          <cell r="C28" t="str">
            <v>Connectors D-Sub-SIMS</v>
          </cell>
          <cell r="D28" t="str">
            <v>CONNECTOR, RECTANGULAR, D-SUB, HIGH DENSITY, PCB, SOCKET, 78 CONTACTS</v>
          </cell>
        </row>
        <row r="29">
          <cell r="A29" t="str">
            <v>9P-SD-PCB</v>
          </cell>
          <cell r="B29">
            <v>1</v>
          </cell>
          <cell r="C29" t="str">
            <v>Connectors D-Sub-SIMS</v>
          </cell>
          <cell r="D29" t="str">
            <v>CONNECTOR, RECTANGULAR, D-SUB, STANDARD DENSITY, PCB, PIN, 9 CONTACTS</v>
          </cell>
        </row>
        <row r="30">
          <cell r="A30" t="str">
            <v>9S-SD-PCB</v>
          </cell>
          <cell r="B30">
            <v>1</v>
          </cell>
          <cell r="C30" t="str">
            <v>Connectors D-Sub-SIMS</v>
          </cell>
          <cell r="D30" t="str">
            <v>CONNECTOR, RECTANGULAR, D-SUB, STANDARD DENSITY, PCB, RECEPTACLE, 9 CONTACTS</v>
          </cell>
        </row>
        <row r="31">
          <cell r="A31" t="str">
            <v>ComboD Socket-24 Position-7#8-17#20</v>
          </cell>
          <cell r="B31" t="str">
            <v>A</v>
          </cell>
          <cell r="C31" t="str">
            <v>Connectors D-Sub-SIMS</v>
          </cell>
          <cell r="D31" t="str">
            <v>CONNECTOR,D-SUB,RECEPT,17#20 SOCKET,7#8 LESS CONTACT,STRAIGHT,DDMM24W7</v>
          </cell>
        </row>
        <row r="32">
          <cell r="A32" t="str">
            <v>ComboD-Pins-7#8-17#20</v>
          </cell>
          <cell r="B32" t="str">
            <v>A</v>
          </cell>
          <cell r="C32" t="str">
            <v>Connectors D-Sub-SIMS</v>
          </cell>
          <cell r="D32" t="str">
            <v>CONNECTOR,D-SUB,PLUG,17#20 PIN &amp; 7#8 LESS CONTACT,STRAIGHT</v>
          </cell>
        </row>
        <row r="33">
          <cell r="A33" t="str">
            <v>GMR7580-15S2BVU</v>
          </cell>
          <cell r="B33">
            <v>1</v>
          </cell>
          <cell r="C33" t="str">
            <v>Connectors - SCAU</v>
          </cell>
          <cell r="D33" t="str">
            <v>PWA CONNECTOR,SEAL,MICRO-D,RECEPTACLE,15 SOCKET,STRAIGHT,GMR7580</v>
          </cell>
        </row>
        <row r="34">
          <cell r="A34" t="str">
            <v>GMR7580-9S2BVU</v>
          </cell>
          <cell r="B34">
            <v>1</v>
          </cell>
          <cell r="C34" t="str">
            <v>Connectors - SCAU</v>
          </cell>
          <cell r="D34" t="str">
            <v>CONNECTOR,MICRO-D,RECEPTACLE,9 SOCKET,STRAIGHT,PCB,GMR7580</v>
          </cell>
        </row>
        <row r="35">
          <cell r="A35" t="str">
            <v>GMR7590-25P2BVU</v>
          </cell>
          <cell r="B35">
            <v>1</v>
          </cell>
          <cell r="C35" t="str">
            <v>Connectors - SCAU</v>
          </cell>
          <cell r="D35" t="str">
            <v>CONNECTOR,MICRO-D,MALE,25 PIN,PCB,RIGHT ANGLE,GMR7590</v>
          </cell>
        </row>
        <row r="36">
          <cell r="A36" t="str">
            <v>GMR7590-51P2BVU</v>
          </cell>
          <cell r="B36">
            <v>1</v>
          </cell>
          <cell r="C36" t="str">
            <v>Connectors - SCAU</v>
          </cell>
          <cell r="D36" t="str">
            <v>CONNECTOR,MICRO-D,MALE,51 PIN,PCB,RIGHT ANGLE,GMR7590</v>
          </cell>
        </row>
        <row r="37">
          <cell r="A37" t="str">
            <v>GMR7590-9P2BVU</v>
          </cell>
          <cell r="B37">
            <v>1</v>
          </cell>
          <cell r="C37" t="str">
            <v>Connectors - SCAU</v>
          </cell>
          <cell r="D37" t="str">
            <v>CONNECTOR,MICRO-D,MALE,9 PIN,PCB,RIGHT ANGLE,GMR7590</v>
          </cell>
        </row>
        <row r="38">
          <cell r="A38" t="str">
            <v>M24308/2-11F_15S HD</v>
          </cell>
          <cell r="B38">
            <v>1</v>
          </cell>
          <cell r="C38" t="str">
            <v>Connectors D-Sub-SIMS</v>
          </cell>
          <cell r="D38" t="str">
            <v>CONNECTOR, RECTANGULAR, MINIATURE, RACK &amp; PANEL, RCPT, CRIMP, 15 CONTACTS</v>
          </cell>
        </row>
        <row r="39">
          <cell r="A39" t="str">
            <v>M24308/2-12F_26S HD</v>
          </cell>
          <cell r="B39">
            <v>1</v>
          </cell>
          <cell r="C39" t="str">
            <v>Connectors D-Sub-SIMS</v>
          </cell>
          <cell r="D39" t="str">
            <v>CONNECTOR, RECTANGULAR, MINIATURE, RACK &amp; PANEL, RCPT, CRIMP, 26 CONTACTS</v>
          </cell>
        </row>
        <row r="40">
          <cell r="A40" t="str">
            <v>M24308/2-13F_44S HD</v>
          </cell>
          <cell r="B40">
            <v>1</v>
          </cell>
          <cell r="C40" t="str">
            <v>Connectors D-Sub-SIMS</v>
          </cell>
          <cell r="D40" t="str">
            <v>CONNECTOR, RECTANGULAR, MINIATURE, RACK &amp; PANEL, RCPT, CRIMP, 44 CONTACTS</v>
          </cell>
        </row>
        <row r="41">
          <cell r="A41" t="str">
            <v>M24308/2-14F_62S HD</v>
          </cell>
          <cell r="B41">
            <v>1</v>
          </cell>
          <cell r="C41" t="str">
            <v>Connectors D-Sub-SIMS</v>
          </cell>
          <cell r="D41" t="str">
            <v>CONNECTOR, RECTANGULAR, MINIATURE, RACK &amp; PANEL, RCPT, CRIMP, 62 CONTACTS</v>
          </cell>
        </row>
        <row r="42">
          <cell r="A42" t="str">
            <v>M24308/2-15F_78S HD</v>
          </cell>
          <cell r="B42">
            <v>1</v>
          </cell>
          <cell r="C42" t="str">
            <v>Connectors D-Sub-SIMS</v>
          </cell>
          <cell r="D42" t="str">
            <v>CONNECTOR, RECTANGULAR, MINIATURE, RACK &amp; PANEL, RCPT, CRIMP, 78 CONTACTS</v>
          </cell>
        </row>
        <row r="43">
          <cell r="A43" t="str">
            <v>M24308/2-15F_78S HD-BCKSHL</v>
          </cell>
          <cell r="B43">
            <v>1</v>
          </cell>
          <cell r="C43" t="str">
            <v>Connectors D-Sub-SIMS</v>
          </cell>
          <cell r="D43" t="str">
            <v>CONNECTOR, RECTANGULAR, MINIATURE, RACK &amp; PANEL, RCPT, CRIMP, 78 CONTACTS WITH BACKSHELL PIN FOR SHIELDS</v>
          </cell>
        </row>
        <row r="44">
          <cell r="A44" t="str">
            <v>M24308/2-16F_104S HD</v>
          </cell>
          <cell r="B44">
            <v>1</v>
          </cell>
          <cell r="C44" t="str">
            <v>Connectors D-Sub-SIMS</v>
          </cell>
          <cell r="D44" t="str">
            <v>CONNECTOR, RECTANGULAR, MINIATURE, RACK &amp; PANEL, RCPT, CRIMP, 104 CONTACTS</v>
          </cell>
        </row>
        <row r="45">
          <cell r="A45" t="str">
            <v>M24308/2-16F_104S HD-BCKSHL</v>
          </cell>
          <cell r="B45">
            <v>1</v>
          </cell>
          <cell r="C45" t="str">
            <v>Connectors D-Sub-SIMS</v>
          </cell>
          <cell r="D45" t="str">
            <v>CONNECTOR, RECTANGULAR, MINIATURE, RACK &amp; PANEL, RCPT, CRIMP, 104 CONTACTS WITH BACKSHELL PIN FOR SHIELDS</v>
          </cell>
        </row>
        <row r="46">
          <cell r="A46" t="str">
            <v>M24308/2-1F_9S SD</v>
          </cell>
          <cell r="B46">
            <v>1</v>
          </cell>
          <cell r="C46" t="str">
            <v>Connectors D-Sub-SIMS</v>
          </cell>
          <cell r="D46" t="str">
            <v>CONNECTOR, RECTANGULAR, MINIATURE, RACK &amp; PANEL, RCPT, CRIMP, 9 CONTACTS</v>
          </cell>
        </row>
        <row r="47">
          <cell r="A47" t="str">
            <v>M24308/2-2F_15S SD</v>
          </cell>
          <cell r="B47">
            <v>1</v>
          </cell>
          <cell r="C47" t="str">
            <v>Connectors D-Sub-SIMS</v>
          </cell>
          <cell r="D47" t="str">
            <v>CONNECTOR, RECTANGULAR, MINIATURE, RACK &amp; PANEL, RCPT, CRIMP, 15 CONTACTS</v>
          </cell>
        </row>
        <row r="48">
          <cell r="A48" t="str">
            <v>M24308/2-3F_25S SD</v>
          </cell>
          <cell r="B48">
            <v>1</v>
          </cell>
          <cell r="C48" t="str">
            <v>Connectors D-Sub-SIMS</v>
          </cell>
          <cell r="D48" t="str">
            <v>CONNECTOR, RECTANGULAR, MINIATURE, RACK &amp; PANEL, RCPT, CRIMP, 25 CONTACTS</v>
          </cell>
        </row>
        <row r="49">
          <cell r="A49" t="str">
            <v>M24308/2-4F_37S SD</v>
          </cell>
          <cell r="B49">
            <v>1</v>
          </cell>
          <cell r="C49" t="str">
            <v>Connectors D-Sub-SIMS</v>
          </cell>
          <cell r="D49" t="str">
            <v>CONNECTOR, RECTANGULAR, MINIATURE, RACK &amp; PANEL, RCPT, CRIMP, 37 CONTACTS</v>
          </cell>
        </row>
        <row r="50">
          <cell r="A50" t="str">
            <v>M24308/2-5F_50S SD</v>
          </cell>
          <cell r="B50">
            <v>1</v>
          </cell>
          <cell r="C50" t="str">
            <v>Connectors D-Sub-SIMS</v>
          </cell>
          <cell r="D50" t="str">
            <v>CONNECTOR, RECTANGULAR, MINIATURE, RACK &amp; PANEL, RCPT, CRIMP, 50 CONTACTS</v>
          </cell>
        </row>
        <row r="51">
          <cell r="A51" t="str">
            <v>M24308/4-11F_15P HD</v>
          </cell>
          <cell r="B51">
            <v>1</v>
          </cell>
          <cell r="C51" t="str">
            <v>Connectors D-Sub-SIMS</v>
          </cell>
          <cell r="D51" t="str">
            <v>CONNECTOR, RECTANGULAR, MINIATURE, RACK &amp; PANEL, PLUG, CRIMP, 15 CONTACTS</v>
          </cell>
        </row>
        <row r="52">
          <cell r="A52" t="str">
            <v>M24308/4-12F_26P HD</v>
          </cell>
          <cell r="B52">
            <v>1</v>
          </cell>
          <cell r="C52" t="str">
            <v>Connectors D-Sub-SIMS</v>
          </cell>
          <cell r="D52" t="str">
            <v>CONNECTOR, RECTANGULAR, MINIATURE, RACK &amp; PANEL, PLUG, CRIMP, 26 CONTACTS</v>
          </cell>
        </row>
        <row r="53">
          <cell r="A53" t="str">
            <v>M24308/4-13F_44P HD</v>
          </cell>
          <cell r="B53">
            <v>1</v>
          </cell>
          <cell r="C53" t="str">
            <v>Connectors D-Sub-SIMS</v>
          </cell>
          <cell r="D53" t="str">
            <v>CONNECTOR, RECTANGULAR, MINIATURE, RACK &amp; PANEL, PLUG, CRIMP, 44 CONTACTS</v>
          </cell>
        </row>
        <row r="54">
          <cell r="A54" t="str">
            <v>M24308/4-14F_62P HD</v>
          </cell>
          <cell r="B54">
            <v>1</v>
          </cell>
          <cell r="C54" t="str">
            <v>Connectors D-Sub-SIMS</v>
          </cell>
          <cell r="D54" t="str">
            <v>CONNECTOR, RECTANGULAR, MINIATURE, RACK &amp; PANEL, PLUG, CRIMP, 62 CONTACTS</v>
          </cell>
        </row>
        <row r="55">
          <cell r="A55" t="str">
            <v>M24308/4-15F_78P HD</v>
          </cell>
          <cell r="B55">
            <v>1</v>
          </cell>
          <cell r="C55" t="str">
            <v>Connectors D-Sub-SIMS</v>
          </cell>
          <cell r="D55" t="str">
            <v>CONNECTOR, RECTANGULAR, MINIATURE, RACK &amp; PANEL, PLUG, CRIMP, 78 CONTACTS</v>
          </cell>
        </row>
        <row r="56">
          <cell r="A56" t="str">
            <v>M24308/4-15F_78P HD-BCKSHL</v>
          </cell>
          <cell r="B56">
            <v>1</v>
          </cell>
          <cell r="C56" t="str">
            <v>Connectors D-Sub-SIMS</v>
          </cell>
          <cell r="D56" t="str">
            <v>CONNECTOR, RECTANGULAR, MINIATURE, RACK &amp; PANEL, PLUG, CRIMP, 78 CONTACTS WITH BACKSHELL PIN FOR SHIELDS</v>
          </cell>
        </row>
        <row r="57">
          <cell r="A57" t="str">
            <v>M24308/4-16F_104P HD</v>
          </cell>
          <cell r="B57">
            <v>1</v>
          </cell>
          <cell r="C57" t="str">
            <v>Connectors D-Sub-SIMS</v>
          </cell>
          <cell r="D57" t="str">
            <v>CONNECTOR, RECTANGULAR, MINIATURE, RACK &amp; PANEL, PLUG, CRIMP, 104 CONTACTS</v>
          </cell>
        </row>
        <row r="58">
          <cell r="A58" t="str">
            <v>M24308/4-16F_104P HD-BCKSHL</v>
          </cell>
          <cell r="B58">
            <v>1</v>
          </cell>
          <cell r="C58" t="str">
            <v>Connectors D-Sub-SIMS</v>
          </cell>
          <cell r="D58" t="str">
            <v>CONNECTOR, RECTANGULAR, MINIATURE, RACK &amp; PANEL, PLUG, CRIMP, 104 CONTACTS WITH BACKSHELL PIN FOR SHIELDS</v>
          </cell>
        </row>
        <row r="59">
          <cell r="A59" t="str">
            <v>M24308/4-1F_9P SD</v>
          </cell>
          <cell r="B59">
            <v>1</v>
          </cell>
          <cell r="C59" t="str">
            <v>Connectors D-Sub-SIMS</v>
          </cell>
          <cell r="D59" t="str">
            <v>CONNECTOR, RECTANGULAR, MINIATURE, RACK &amp; PANEL, PLUG, CRIMP, 9 CONTACTS</v>
          </cell>
        </row>
        <row r="60">
          <cell r="A60" t="str">
            <v>M24308/4-2F_15P SD</v>
          </cell>
          <cell r="B60">
            <v>1</v>
          </cell>
          <cell r="C60" t="str">
            <v>Connectors D-Sub-SIMS</v>
          </cell>
          <cell r="D60" t="str">
            <v>CONNECTOR, RECTANGULAR, MINIATURE, RACK &amp; PANEL, PLUG, CRIMP, 15 CONTACTS</v>
          </cell>
        </row>
        <row r="61">
          <cell r="A61" t="str">
            <v>M24308/4-3F_25P SD</v>
          </cell>
          <cell r="B61">
            <v>1</v>
          </cell>
          <cell r="C61" t="str">
            <v>Connectors D-Sub-SIMS</v>
          </cell>
          <cell r="D61" t="str">
            <v>CONNECTOR, RECTANGULAR, MINIATURE, RACK &amp; PANEL, PLUG, CRIMP, 25 CONTACTS</v>
          </cell>
        </row>
        <row r="62">
          <cell r="A62" t="str">
            <v>M24308/4-3F_25P SD-BCKSHL</v>
          </cell>
          <cell r="B62">
            <v>1</v>
          </cell>
          <cell r="C62" t="str">
            <v>Connectors D-Sub-SIMS</v>
          </cell>
          <cell r="D62" t="str">
            <v>CONNECTOR, RECTANGULAR, MINIATURE, RACK &amp; PANEL, PLUG, CRIMP, 25 CONTACTS</v>
          </cell>
        </row>
        <row r="63">
          <cell r="A63" t="str">
            <v>M24308/4-4F_37P SD</v>
          </cell>
          <cell r="B63">
            <v>1</v>
          </cell>
          <cell r="C63" t="str">
            <v>Connectors D-Sub-SIMS</v>
          </cell>
          <cell r="D63" t="str">
            <v>CONNECTOR, RECTANGULAR, MINIATURE, RACK &amp; PANEL, PLUG, CRIMP, 37 CONTACTS</v>
          </cell>
        </row>
        <row r="64">
          <cell r="A64" t="str">
            <v>M24308/4-5F_50P SD</v>
          </cell>
          <cell r="B64">
            <v>1</v>
          </cell>
          <cell r="C64" t="str">
            <v>Connectors D-Sub-SIMS</v>
          </cell>
          <cell r="D64" t="str">
            <v>CONNECTOR, RECTANGULAR, MINIATURE, RACK &amp; PANEL, PLUG, CRIMP, 50 CONTACTS</v>
          </cell>
        </row>
        <row r="65">
          <cell r="A65" t="str">
            <v>M24308/4-5F_50P SD-BCKSHL</v>
          </cell>
          <cell r="B65">
            <v>1</v>
          </cell>
          <cell r="C65" t="str">
            <v>Connectors D-Sub-SIMS</v>
          </cell>
          <cell r="D65" t="str">
            <v>CONNECTOR, RECTANGULAR, MINIATURE, RACK &amp; PANEL, PLUG, CRIMP, 50 CONTACTS</v>
          </cell>
        </row>
        <row r="66">
          <cell r="A66" t="str">
            <v>M39012/55-3007</v>
          </cell>
          <cell r="B66">
            <v>1</v>
          </cell>
          <cell r="C66" t="str">
            <v>Connectors Coaxial</v>
          </cell>
          <cell r="D66" t="str">
            <v>CONNECTOR, PLUG, COAXIAL, SERIES SMA, PIN, CLASS 2</v>
          </cell>
        </row>
        <row r="67">
          <cell r="A67" t="str">
            <v>M39012/55-3009</v>
          </cell>
          <cell r="B67">
            <v>1</v>
          </cell>
          <cell r="C67" t="str">
            <v>Connectors Coaxial</v>
          </cell>
          <cell r="D67" t="str">
            <v>CONNECTOR, PLUG, COAXIAL, SERIES SMA, PIN, CLASS 2</v>
          </cell>
        </row>
        <row r="68">
          <cell r="A68" t="str">
            <v>M39012/55-3026</v>
          </cell>
          <cell r="B68">
            <v>1</v>
          </cell>
          <cell r="C68" t="str">
            <v>Connectors Coaxial</v>
          </cell>
          <cell r="D68" t="str">
            <v>CONNECTOR, PLUG, COAXIAL, SERIES SMA, PIN, CLASS 2</v>
          </cell>
        </row>
        <row r="69">
          <cell r="A69" t="str">
            <v>M39012/55-4009</v>
          </cell>
          <cell r="B69">
            <v>1</v>
          </cell>
          <cell r="C69" t="str">
            <v>Connectors Coaxial</v>
          </cell>
          <cell r="D69" t="str">
            <v>CONNECTOR, PLUG, COAXIAL, SERIES SMA, PIN, CLASS 2</v>
          </cell>
        </row>
        <row r="70">
          <cell r="A70" t="str">
            <v>M39012/59-3007</v>
          </cell>
          <cell r="B70">
            <v>1</v>
          </cell>
          <cell r="C70" t="str">
            <v>Connectors Coaxial</v>
          </cell>
          <cell r="D70" t="str">
            <v>CONNECTOR, RECEPTACLE, COAXIAL, SERIES SMA, SOCKET, CLASS 2</v>
          </cell>
        </row>
        <row r="71">
          <cell r="A71" t="str">
            <v>M39012/59-3009</v>
          </cell>
          <cell r="B71">
            <v>1</v>
          </cell>
          <cell r="C71" t="str">
            <v>Connectors Coaxial</v>
          </cell>
          <cell r="D71" t="str">
            <v>CONNECTOR, RECEPTACLE, COAXIAL, SERIES SMA, SOCKET, CLASS 2</v>
          </cell>
        </row>
        <row r="72">
          <cell r="A72" t="str">
            <v>M39012/59-3026</v>
          </cell>
          <cell r="B72">
            <v>1</v>
          </cell>
          <cell r="C72" t="str">
            <v>Connectors Coaxial</v>
          </cell>
          <cell r="D72" t="str">
            <v>CONNECTOR, RECEPTACLE, COAXIAL, SERIES SMA, SOCKET, CLASS 2</v>
          </cell>
        </row>
        <row r="73">
          <cell r="A73" t="str">
            <v>M39012/59-4009</v>
          </cell>
          <cell r="B73">
            <v>1</v>
          </cell>
          <cell r="C73" t="str">
            <v>Connectors Coaxial</v>
          </cell>
          <cell r="D73" t="str">
            <v>CONNECTOR, RECEPTACLE, COAXIAL, SERIES SMA, SOCKET, CLASS 2</v>
          </cell>
        </row>
        <row r="74">
          <cell r="A74" t="str">
            <v>Micro-D 100P</v>
          </cell>
          <cell r="B74">
            <v>1</v>
          </cell>
          <cell r="C74" t="str">
            <v>Connectors D-Sub-SIMS</v>
          </cell>
          <cell r="D74" t="str">
            <v>Micro-D 100P</v>
          </cell>
        </row>
        <row r="75">
          <cell r="A75" t="str">
            <v>Micro-D 100P PCB</v>
          </cell>
          <cell r="B75">
            <v>1</v>
          </cell>
          <cell r="C75" t="str">
            <v>Connectors D-Sub-SIMS</v>
          </cell>
          <cell r="D75" t="str">
            <v>CONNECTOR, RECTANGULAR, MICRO-D, PCB, PINS, 100 CONTACTS</v>
          </cell>
        </row>
        <row r="76">
          <cell r="A76" t="str">
            <v>Micro-D 100S</v>
          </cell>
          <cell r="B76">
            <v>1</v>
          </cell>
          <cell r="C76" t="str">
            <v>Connectors D-Sub-SIMS</v>
          </cell>
          <cell r="D76" t="str">
            <v>Micro-D 100S</v>
          </cell>
        </row>
        <row r="77">
          <cell r="A77" t="str">
            <v>Micro-D 100S PCB</v>
          </cell>
          <cell r="B77">
            <v>1</v>
          </cell>
          <cell r="C77" t="str">
            <v>Connectors D-Sub-SIMS</v>
          </cell>
          <cell r="D77" t="str">
            <v>CONNECTOR, RECTANGULAR, MICRO-D, PCB, SOCKET, 100 CONTACTS</v>
          </cell>
        </row>
        <row r="78">
          <cell r="A78" t="str">
            <v>Micro-D 15P</v>
          </cell>
          <cell r="B78">
            <v>1</v>
          </cell>
          <cell r="C78" t="str">
            <v>Connectors D-Sub-SIMS</v>
          </cell>
          <cell r="D78" t="str">
            <v>Micro-D 15P</v>
          </cell>
        </row>
        <row r="79">
          <cell r="A79" t="str">
            <v>Micro-D 15S</v>
          </cell>
          <cell r="B79">
            <v>1</v>
          </cell>
          <cell r="C79" t="str">
            <v>Connectors D-Sub-SIMS</v>
          </cell>
          <cell r="D79" t="str">
            <v>Micro-D 15S</v>
          </cell>
        </row>
        <row r="80">
          <cell r="A80" t="str">
            <v>Micro-D 21P</v>
          </cell>
          <cell r="B80">
            <v>1</v>
          </cell>
          <cell r="C80" t="str">
            <v>Connectors D-Sub-SIMS</v>
          </cell>
          <cell r="D80" t="str">
            <v>Micro-D 21P</v>
          </cell>
        </row>
        <row r="81">
          <cell r="A81" t="str">
            <v>Micro-D 21S</v>
          </cell>
          <cell r="B81">
            <v>1</v>
          </cell>
          <cell r="C81" t="str">
            <v>Connectors D-Sub-SIMS</v>
          </cell>
          <cell r="D81" t="str">
            <v>Micro-D 21S</v>
          </cell>
        </row>
        <row r="82">
          <cell r="A82" t="str">
            <v>Micro-D 25P</v>
          </cell>
          <cell r="B82">
            <v>1</v>
          </cell>
          <cell r="C82" t="str">
            <v>Connectors D-Sub-SIMS</v>
          </cell>
          <cell r="D82" t="str">
            <v>Micro-D 25P</v>
          </cell>
        </row>
        <row r="83">
          <cell r="A83" t="str">
            <v>Micro-D 25S</v>
          </cell>
          <cell r="B83">
            <v>1</v>
          </cell>
          <cell r="C83" t="str">
            <v>Connectors D-Sub-SIMS</v>
          </cell>
          <cell r="D83" t="str">
            <v>Micro-D 25S</v>
          </cell>
        </row>
        <row r="84">
          <cell r="A84" t="str">
            <v>Micro-D 37P PCB</v>
          </cell>
          <cell r="B84">
            <v>1</v>
          </cell>
          <cell r="C84" t="str">
            <v>Connectors D-Sub-SIMS</v>
          </cell>
          <cell r="D84" t="str">
            <v>CONNECTOR, RECTANGULAR, MICRO-D, PCB, PINS, 37 CONTACTS</v>
          </cell>
        </row>
        <row r="85">
          <cell r="A85" t="str">
            <v>Micro-D 37S</v>
          </cell>
          <cell r="B85">
            <v>1</v>
          </cell>
          <cell r="C85" t="str">
            <v>Connectors D-Sub-SIMS</v>
          </cell>
          <cell r="D85" t="str">
            <v>Micro-D 37S</v>
          </cell>
        </row>
        <row r="86">
          <cell r="A86" t="str">
            <v>Micro-D 51P</v>
          </cell>
          <cell r="B86">
            <v>1</v>
          </cell>
          <cell r="C86" t="str">
            <v>Connectors D-Sub-SIMS</v>
          </cell>
          <cell r="D86" t="str">
            <v>Micro-D 51P</v>
          </cell>
        </row>
        <row r="87">
          <cell r="A87" t="str">
            <v>Micro-D 51S PCB</v>
          </cell>
          <cell r="B87">
            <v>1</v>
          </cell>
          <cell r="C87" t="str">
            <v>Connectors D-Sub-SIMS</v>
          </cell>
          <cell r="D87" t="str">
            <v>CONNECTOR, RECTANGULAR, MICRO-D, PCB, SOCKET, 51 CONTACTS</v>
          </cell>
        </row>
        <row r="88">
          <cell r="A88" t="str">
            <v>Micro-D 9P</v>
          </cell>
          <cell r="B88">
            <v>1</v>
          </cell>
          <cell r="C88" t="str">
            <v>Connectors D-Sub-SIMS</v>
          </cell>
          <cell r="D88" t="str">
            <v>Micro-D 9P</v>
          </cell>
        </row>
        <row r="89">
          <cell r="A89" t="str">
            <v>Micro-D 9S PCB</v>
          </cell>
          <cell r="B89">
            <v>1</v>
          </cell>
          <cell r="C89" t="str">
            <v>Connectors D-Sub-SIMS</v>
          </cell>
          <cell r="D89" t="str">
            <v>CONNECTOR, RECTANGULAR, MICRO-D, PCB, SOCKET, 9 CONTACTS</v>
          </cell>
        </row>
        <row r="90">
          <cell r="A90" t="str">
            <v>Nano-D 51P</v>
          </cell>
          <cell r="B90">
            <v>1</v>
          </cell>
          <cell r="C90" t="str">
            <v>Connectors D-Sub-SIMS</v>
          </cell>
          <cell r="D90" t="str">
            <v>CONNECTOR, RECTANGULAR, NANO-D, PIN, 51 CONTACTS</v>
          </cell>
        </row>
        <row r="91">
          <cell r="A91" t="str">
            <v>Nano-D 51S</v>
          </cell>
          <cell r="B91">
            <v>1</v>
          </cell>
          <cell r="C91" t="str">
            <v>Connectors D-Sub-SIMS</v>
          </cell>
          <cell r="D91" t="str">
            <v>CONNECTOR, RECTANGULAR, NANO-D, SOCKET, 51 CONTACTS</v>
          </cell>
        </row>
        <row r="92">
          <cell r="A92" t="str">
            <v>SCSI-3 68P</v>
          </cell>
          <cell r="B92">
            <v>1</v>
          </cell>
          <cell r="C92" t="str">
            <v>Connectors VHDCI-SCSI</v>
          </cell>
          <cell r="D92" t="str">
            <v>CONNECTO, SCSI-3, PLUG, 68 CONTACTS</v>
          </cell>
        </row>
        <row r="93">
          <cell r="A93" t="str">
            <v>SCSI-3 68S PCB</v>
          </cell>
          <cell r="B93">
            <v>1</v>
          </cell>
          <cell r="C93" t="str">
            <v>Connectors VHDCI-SCSI</v>
          </cell>
          <cell r="D93" t="str">
            <v>CONNECTOR, SCSI-3, PCB, SOCKET, 68 CONTACTS</v>
          </cell>
        </row>
        <row r="94">
          <cell r="A94" t="str">
            <v>SDD104S4R700G</v>
          </cell>
          <cell r="B94">
            <v>1</v>
          </cell>
          <cell r="C94" t="str">
            <v>Connectors - SCAU</v>
          </cell>
          <cell r="D94" t="str">
            <v>CONNECTOR,D-SUB,FEMALE,104 SOCKET,RIGHT ANGLE,SDD</v>
          </cell>
        </row>
        <row r="95">
          <cell r="A95" t="str">
            <v>SDD15S4R700G</v>
          </cell>
          <cell r="B95">
            <v>1</v>
          </cell>
          <cell r="C95" t="str">
            <v>Connectors - SCAU</v>
          </cell>
          <cell r="D95" t="str">
            <v>CONNECTOR,D-SUB,FEMALE,15#22 SOCKET,RIGHT ANGLE</v>
          </cell>
        </row>
        <row r="96">
          <cell r="A96" t="str">
            <v>SDD44S4R700G</v>
          </cell>
          <cell r="B96">
            <v>1</v>
          </cell>
          <cell r="C96" t="str">
            <v>Connectors - SCAU</v>
          </cell>
          <cell r="D96" t="str">
            <v>CONNECTOR,D-SUB,FEMALE,44 SOCKET,RIGHT ANGLE,SDD</v>
          </cell>
        </row>
        <row r="97">
          <cell r="A97" t="str">
            <v>SND9M5R700D</v>
          </cell>
          <cell r="B97">
            <v>1</v>
          </cell>
          <cell r="C97" t="str">
            <v>Connectors - SCAU</v>
          </cell>
          <cell r="D97" t="str">
            <v>CONNECTOR,D-SUB,MALE,9 #20 PIN,RIGHT ANGLE,SND</v>
          </cell>
        </row>
        <row r="98">
          <cell r="A98" t="str">
            <v>SND9S5R700G</v>
          </cell>
          <cell r="B98">
            <v>1</v>
          </cell>
          <cell r="C98" t="str">
            <v>Connectors - SCAU</v>
          </cell>
          <cell r="D98" t="str">
            <v>CONNECTOR,D-SUB,FEMALE,9#20 SOCKET,RIGHT ANGLE</v>
          </cell>
        </row>
        <row r="99">
          <cell r="A99" t="str">
            <v>TEMPLATE_COMPONENT_DONT_DELETE</v>
          </cell>
          <cell r="B99">
            <v>1</v>
          </cell>
          <cell r="C99" t="str">
            <v>Connectors D-Sub-SIMS</v>
          </cell>
          <cell r="D99" t="str">
            <v>CONNECTOR, RECTANGULAR, MINIATURE, RACK &amp; PANEL, RCPT, CRIMP, 15 CONTACTS</v>
          </cell>
        </row>
        <row r="100">
          <cell r="A100" t="str">
            <v>VHDCI 68P</v>
          </cell>
          <cell r="B100">
            <v>1</v>
          </cell>
          <cell r="C100" t="str">
            <v>Connectors VHDCI-SCSI</v>
          </cell>
          <cell r="D100" t="str">
            <v>CONNECTO, VHDCI, PLUG, 68 CONTACTS</v>
          </cell>
        </row>
        <row r="101">
          <cell r="A101" t="str">
            <v>VHDCI 68S PCB</v>
          </cell>
          <cell r="B101">
            <v>1</v>
          </cell>
          <cell r="C101" t="str">
            <v>Connectors VHDCI-SCSI</v>
          </cell>
          <cell r="D101" t="str">
            <v>CONNECTO, VHDCI, PCB, SOCKET, 68 CONTACTS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76DA-3A7A-4C1F-AB24-B6167AAF2047}">
  <dimension ref="A1:M196"/>
  <sheetViews>
    <sheetView tabSelected="1" zoomScaleNormal="100" workbookViewId="0">
      <selection activeCell="D3" sqref="D3"/>
    </sheetView>
  </sheetViews>
  <sheetFormatPr defaultRowHeight="15" x14ac:dyDescent="0.25"/>
  <cols>
    <col min="1" max="1" width="21.140625" customWidth="1"/>
    <col min="2" max="2" width="23.5703125" customWidth="1"/>
    <col min="3" max="3" width="26.28515625" bestFit="1" customWidth="1"/>
    <col min="4" max="4" width="28.28515625" bestFit="1" customWidth="1"/>
    <col min="6" max="6" width="34.140625" bestFit="1" customWidth="1"/>
  </cols>
  <sheetData>
    <row r="1" spans="1:13" ht="15.75" thickBot="1" x14ac:dyDescent="0.3">
      <c r="A1" s="3" t="s">
        <v>0</v>
      </c>
      <c r="B1" s="8" t="s">
        <v>513</v>
      </c>
    </row>
    <row r="2" spans="1:13" ht="15.75" thickBot="1" x14ac:dyDescent="0.3">
      <c r="C2" s="45" t="s">
        <v>514</v>
      </c>
      <c r="D2" s="46" t="s">
        <v>515</v>
      </c>
    </row>
    <row r="3" spans="1:13" ht="15.75" thickBot="1" x14ac:dyDescent="0.3">
      <c r="A3" s="3" t="s">
        <v>1</v>
      </c>
      <c r="B3" s="9" t="s">
        <v>398</v>
      </c>
      <c r="C3" s="48" t="str">
        <f>VLOOKUP(B3,[1]Library!A1:D101,3)</f>
        <v>Connectors D-Sub-SIMS</v>
      </c>
      <c r="D3" s="49" t="str">
        <f>VLOOKUP(B3,[1]Library!A1:D101,1)</f>
        <v>Micro-D 100S</v>
      </c>
      <c r="J3" s="42" t="s">
        <v>9</v>
      </c>
      <c r="K3" s="44"/>
      <c r="L3" s="1"/>
    </row>
    <row r="4" spans="1:13" ht="15.75" thickBot="1" x14ac:dyDescent="0.3">
      <c r="A4" s="20" t="s">
        <v>2</v>
      </c>
      <c r="B4" s="41" t="s">
        <v>366</v>
      </c>
      <c r="C4" s="47" t="str">
        <f>VLOOKUP(B4,[1]Library!A1:D101,3)</f>
        <v>Connectors D-Sub-SIMS</v>
      </c>
      <c r="D4" s="30" t="str">
        <f>VLOOKUP(B4,[1]Library!A1:D101,1)</f>
        <v>M24308/2-16F_104S HD</v>
      </c>
      <c r="H4" s="40" t="s">
        <v>509</v>
      </c>
      <c r="I4" s="28"/>
      <c r="J4" s="7" t="s">
        <v>10</v>
      </c>
      <c r="K4" s="5" t="s">
        <v>11</v>
      </c>
      <c r="L4" s="1"/>
      <c r="M4" s="7" t="s">
        <v>509</v>
      </c>
    </row>
    <row r="5" spans="1:13" ht="15.75" thickBot="1" x14ac:dyDescent="0.3">
      <c r="A5" s="3" t="s">
        <v>510</v>
      </c>
      <c r="B5" s="9" t="s">
        <v>13</v>
      </c>
      <c r="C5" s="47" t="str">
        <f>VLOOKUP(B5,[1]Library!A1:D101,3)</f>
        <v>Connectors D-Sub-SIMS</v>
      </c>
      <c r="D5" s="30" t="str">
        <f>VLOOKUP(B5,[1]Library!A1:D101,1)</f>
        <v>M24308/2-11F_15S HD</v>
      </c>
      <c r="H5" s="28">
        <v>1</v>
      </c>
      <c r="I5" s="1" t="str" cm="1">
        <f t="array" ref="I5:I20">IF(_xlfn.SEQUENCE(B10,1), "|")</f>
        <v>|</v>
      </c>
      <c r="J5" s="11">
        <v>1</v>
      </c>
      <c r="K5" s="11">
        <v>8</v>
      </c>
      <c r="L5" s="1" t="str" cm="1">
        <f t="array" ref="L5:L20">IF(_xlfn.SEQUENCE(B10,1), "|")</f>
        <v>|</v>
      </c>
      <c r="M5" s="28">
        <v>3</v>
      </c>
    </row>
    <row r="6" spans="1:13" ht="15.75" thickBot="1" x14ac:dyDescent="0.3">
      <c r="A6" s="3" t="s">
        <v>511</v>
      </c>
      <c r="B6" s="9" t="s">
        <v>13</v>
      </c>
      <c r="C6" s="47" t="str">
        <f>VLOOKUP(B6,[1]Library!A1:D101,3)</f>
        <v>Connectors D-Sub-SIMS</v>
      </c>
      <c r="D6" s="30" t="str">
        <f>VLOOKUP(B6,[1]Library!A1:D101,1)</f>
        <v>M24308/2-11F_15S HD</v>
      </c>
      <c r="H6" s="28">
        <v>1</v>
      </c>
      <c r="I6" s="1" t="str">
        <v>|</v>
      </c>
      <c r="J6" s="1">
        <v>2</v>
      </c>
      <c r="K6" s="1">
        <v>4</v>
      </c>
      <c r="L6" s="1" t="str">
        <v>|</v>
      </c>
      <c r="M6" s="28">
        <v>3</v>
      </c>
    </row>
    <row r="7" spans="1:13" ht="15.75" thickBot="1" x14ac:dyDescent="0.3">
      <c r="A7" s="3" t="s">
        <v>512</v>
      </c>
      <c r="B7" s="9"/>
      <c r="C7" s="50" t="e">
        <f>VLOOKUP(B7,[1]Library!A1:D101,3)</f>
        <v>#N/A</v>
      </c>
      <c r="D7" s="31" t="e">
        <f>VLOOKUP(B7,[1]Library!A1:D101,1)</f>
        <v>#N/A</v>
      </c>
      <c r="H7" s="28">
        <v>1</v>
      </c>
      <c r="I7" s="1" t="str">
        <v>|</v>
      </c>
      <c r="J7" s="1">
        <v>3</v>
      </c>
      <c r="K7" s="1">
        <v>9</v>
      </c>
      <c r="L7" s="1" t="str">
        <v>|</v>
      </c>
      <c r="M7" s="28">
        <v>3</v>
      </c>
    </row>
    <row r="8" spans="1:13" ht="15.75" thickBot="1" x14ac:dyDescent="0.3">
      <c r="H8" s="28">
        <v>1</v>
      </c>
      <c r="I8" s="1" t="str">
        <v>|</v>
      </c>
      <c r="J8" s="1">
        <v>4</v>
      </c>
      <c r="K8" s="1">
        <v>5</v>
      </c>
      <c r="L8" s="1" t="str">
        <v>|</v>
      </c>
      <c r="M8" s="28">
        <v>3</v>
      </c>
    </row>
    <row r="9" spans="1:13" ht="15.75" thickBot="1" x14ac:dyDescent="0.3">
      <c r="E9" s="12"/>
      <c r="F9" s="4" t="s">
        <v>12</v>
      </c>
      <c r="H9" s="28">
        <v>1</v>
      </c>
      <c r="I9" s="1" t="str">
        <v>|</v>
      </c>
      <c r="J9" s="1">
        <v>88</v>
      </c>
      <c r="K9" s="1">
        <v>2</v>
      </c>
      <c r="L9" s="1" t="str">
        <v>|</v>
      </c>
      <c r="M9" s="28">
        <v>3</v>
      </c>
    </row>
    <row r="10" spans="1:13" ht="15.75" thickBot="1" x14ac:dyDescent="0.3">
      <c r="A10" s="3" t="s">
        <v>508</v>
      </c>
      <c r="B10" s="9">
        <v>16</v>
      </c>
      <c r="H10" s="28">
        <v>1</v>
      </c>
      <c r="I10" s="1" t="str">
        <v>|</v>
      </c>
      <c r="J10" s="1">
        <v>89</v>
      </c>
      <c r="K10" s="1">
        <v>7</v>
      </c>
      <c r="L10" s="28" t="str">
        <v>|</v>
      </c>
      <c r="M10" s="28">
        <v>3</v>
      </c>
    </row>
    <row r="11" spans="1:13" ht="15.75" thickBot="1" x14ac:dyDescent="0.3">
      <c r="A11" s="2" t="s">
        <v>4</v>
      </c>
      <c r="B11" s="10">
        <v>1</v>
      </c>
      <c r="H11" s="28">
        <v>1</v>
      </c>
      <c r="I11" s="1" t="str">
        <v>|</v>
      </c>
      <c r="J11" s="1">
        <v>91</v>
      </c>
      <c r="K11" s="28">
        <v>1</v>
      </c>
      <c r="L11" s="28" t="str">
        <v>|</v>
      </c>
      <c r="M11" s="28">
        <v>3</v>
      </c>
    </row>
    <row r="12" spans="1:13" ht="15.75" thickBot="1" x14ac:dyDescent="0.3">
      <c r="H12" s="28">
        <v>1</v>
      </c>
      <c r="I12" s="1" t="str">
        <v>|</v>
      </c>
      <c r="J12" s="1">
        <v>92</v>
      </c>
      <c r="K12" s="28">
        <v>6</v>
      </c>
      <c r="L12" s="28" t="str">
        <v>|</v>
      </c>
      <c r="M12" s="28">
        <v>3</v>
      </c>
    </row>
    <row r="13" spans="1:13" ht="15.75" thickBot="1" x14ac:dyDescent="0.3">
      <c r="A13" s="42" t="s">
        <v>5</v>
      </c>
      <c r="B13" s="43"/>
      <c r="C13" s="38" t="s">
        <v>505</v>
      </c>
      <c r="D13" s="38" t="s">
        <v>506</v>
      </c>
      <c r="E13" s="39" t="s">
        <v>507</v>
      </c>
      <c r="H13" s="28">
        <v>1</v>
      </c>
      <c r="I13" s="1" t="str">
        <v>|</v>
      </c>
      <c r="J13" s="1">
        <v>5</v>
      </c>
      <c r="K13" s="28">
        <v>8</v>
      </c>
      <c r="L13" s="28" t="str">
        <v>|</v>
      </c>
      <c r="M13" s="28">
        <v>4</v>
      </c>
    </row>
    <row r="14" spans="1:13" ht="15.75" thickBot="1" x14ac:dyDescent="0.3">
      <c r="A14" t="str" cm="1">
        <f t="array" ref="A14">IF(_xlfn.SEQUENCE(B11,1), "Wire Data")</f>
        <v>Wire Data</v>
      </c>
      <c r="B14" s="37" t="s">
        <v>202</v>
      </c>
      <c r="C14" s="28">
        <f>VLOOKUP(B14,Library!G2:H197,2)</f>
        <v>2</v>
      </c>
      <c r="D14" s="36">
        <v>8</v>
      </c>
      <c r="E14" s="28">
        <f>D14*C14</f>
        <v>16</v>
      </c>
      <c r="H14" s="28">
        <v>1</v>
      </c>
      <c r="I14" s="1" t="str">
        <v>|</v>
      </c>
      <c r="J14" s="1">
        <v>6</v>
      </c>
      <c r="K14" s="28">
        <v>4</v>
      </c>
      <c r="L14" s="28" t="str">
        <v>|</v>
      </c>
      <c r="M14" s="28">
        <v>4</v>
      </c>
    </row>
    <row r="15" spans="1:13" ht="15.75" thickBot="1" x14ac:dyDescent="0.3">
      <c r="C15" s="28" t="e">
        <f>VLOOKUP(B15,Library!G3:H198,2)</f>
        <v>#N/A</v>
      </c>
      <c r="D15" s="28"/>
      <c r="E15" s="28" t="e">
        <f t="shared" ref="E15:E78" si="0">D15*C15</f>
        <v>#N/A</v>
      </c>
      <c r="F15" s="7" t="s">
        <v>8</v>
      </c>
      <c r="H15" s="28">
        <v>1</v>
      </c>
      <c r="I15" s="1" t="str">
        <v>|</v>
      </c>
      <c r="J15" s="1">
        <v>7</v>
      </c>
      <c r="K15" s="28">
        <v>9</v>
      </c>
      <c r="L15" s="28" t="str">
        <v>|</v>
      </c>
      <c r="M15" s="28">
        <v>4</v>
      </c>
    </row>
    <row r="16" spans="1:13" ht="15.75" thickBot="1" x14ac:dyDescent="0.3">
      <c r="C16" s="28" t="e">
        <f>VLOOKUP(B16,Library!G4:H199,2)</f>
        <v>#N/A</v>
      </c>
      <c r="D16" s="28"/>
      <c r="E16" s="28" t="e">
        <f t="shared" si="0"/>
        <v>#N/A</v>
      </c>
      <c r="F16" s="26" t="str">
        <f>IF(SUMIF(E14:E204,"&lt;&gt;#N/A")=B10,"Pass","NUMBER OF WIRES GREATER THAN B6")</f>
        <v>Pass</v>
      </c>
      <c r="H16" s="28">
        <v>1</v>
      </c>
      <c r="I16" s="1" t="str">
        <v>|</v>
      </c>
      <c r="J16" s="1">
        <v>8</v>
      </c>
      <c r="K16" s="28">
        <v>5</v>
      </c>
      <c r="L16" s="28" t="str">
        <v>|</v>
      </c>
      <c r="M16" s="28">
        <v>4</v>
      </c>
    </row>
    <row r="17" spans="3:13" x14ac:dyDescent="0.25">
      <c r="C17" s="28" t="e">
        <f>VLOOKUP(B17,Library!G5:H200,2)</f>
        <v>#N/A</v>
      </c>
      <c r="D17" s="28"/>
      <c r="E17" s="28" t="e">
        <f t="shared" si="0"/>
        <v>#N/A</v>
      </c>
      <c r="H17" s="28">
        <v>1</v>
      </c>
      <c r="I17" s="1" t="str">
        <v>|</v>
      </c>
      <c r="J17" s="1">
        <v>23</v>
      </c>
      <c r="K17" s="28">
        <v>2</v>
      </c>
      <c r="L17" s="28" t="str">
        <v>|</v>
      </c>
      <c r="M17" s="28">
        <v>4</v>
      </c>
    </row>
    <row r="18" spans="3:13" x14ac:dyDescent="0.25">
      <c r="C18" s="28" t="e">
        <f>VLOOKUP(B18,Library!G6:H201,2)</f>
        <v>#N/A</v>
      </c>
      <c r="D18" s="28"/>
      <c r="E18" s="28" t="e">
        <f t="shared" si="0"/>
        <v>#N/A</v>
      </c>
      <c r="H18" s="28">
        <v>1</v>
      </c>
      <c r="I18" s="1" t="str">
        <v>|</v>
      </c>
      <c r="J18" s="1">
        <v>24</v>
      </c>
      <c r="K18" s="28">
        <v>7</v>
      </c>
      <c r="L18" s="28" t="str">
        <v>|</v>
      </c>
      <c r="M18" s="28">
        <v>4</v>
      </c>
    </row>
    <row r="19" spans="3:13" x14ac:dyDescent="0.25">
      <c r="C19" s="28" t="e">
        <f>VLOOKUP(B19,Library!G7:H202,2)</f>
        <v>#N/A</v>
      </c>
      <c r="D19" s="28"/>
      <c r="E19" s="28" t="e">
        <f t="shared" si="0"/>
        <v>#N/A</v>
      </c>
      <c r="H19" s="28">
        <v>1</v>
      </c>
      <c r="I19" s="1" t="str">
        <v>|</v>
      </c>
      <c r="J19" s="1">
        <v>25</v>
      </c>
      <c r="K19" s="28">
        <v>1</v>
      </c>
      <c r="L19" s="28" t="str">
        <v>|</v>
      </c>
      <c r="M19" s="28">
        <v>4</v>
      </c>
    </row>
    <row r="20" spans="3:13" x14ac:dyDescent="0.25">
      <c r="C20" s="28" t="e">
        <f>VLOOKUP(B20,Library!G8:H203,2)</f>
        <v>#N/A</v>
      </c>
      <c r="D20" s="28"/>
      <c r="E20" s="28" t="e">
        <f t="shared" si="0"/>
        <v>#N/A</v>
      </c>
      <c r="H20" s="28">
        <v>1</v>
      </c>
      <c r="I20" s="1" t="str">
        <v>|</v>
      </c>
      <c r="J20" s="1">
        <v>26</v>
      </c>
      <c r="K20" s="28">
        <v>6</v>
      </c>
      <c r="L20" s="1" t="str">
        <v>|</v>
      </c>
      <c r="M20" s="28">
        <v>4</v>
      </c>
    </row>
    <row r="21" spans="3:13" x14ac:dyDescent="0.25">
      <c r="C21" s="28" t="e">
        <f>VLOOKUP(B21,Library!G9:H204,2)</f>
        <v>#N/A</v>
      </c>
      <c r="D21" s="28"/>
      <c r="E21" s="28" t="e">
        <f t="shared" si="0"/>
        <v>#N/A</v>
      </c>
    </row>
    <row r="22" spans="3:13" x14ac:dyDescent="0.25">
      <c r="C22" s="28" t="e">
        <f>VLOOKUP(B22,Library!G10:H205,2)</f>
        <v>#N/A</v>
      </c>
      <c r="D22" s="28"/>
      <c r="E22" s="28" t="e">
        <f t="shared" si="0"/>
        <v>#N/A</v>
      </c>
    </row>
    <row r="23" spans="3:13" x14ac:dyDescent="0.25">
      <c r="C23" s="28" t="e">
        <f>VLOOKUP(B23,Library!G11:H206,2)</f>
        <v>#N/A</v>
      </c>
      <c r="D23" s="28"/>
      <c r="E23" s="28" t="e">
        <f t="shared" si="0"/>
        <v>#N/A</v>
      </c>
    </row>
    <row r="24" spans="3:13" x14ac:dyDescent="0.25">
      <c r="C24" s="28" t="e">
        <f>VLOOKUP(B24,Library!G12:H207,2)</f>
        <v>#N/A</v>
      </c>
      <c r="D24" s="28"/>
      <c r="E24" s="28" t="e">
        <f t="shared" si="0"/>
        <v>#N/A</v>
      </c>
    </row>
    <row r="25" spans="3:13" x14ac:dyDescent="0.25">
      <c r="C25" s="28" t="e">
        <f>VLOOKUP(B25,Library!G13:H208,2)</f>
        <v>#N/A</v>
      </c>
      <c r="D25" s="28"/>
      <c r="E25" s="28" t="e">
        <f t="shared" si="0"/>
        <v>#N/A</v>
      </c>
      <c r="H25" s="28"/>
      <c r="I25" s="1"/>
      <c r="J25" s="1"/>
      <c r="K25" s="28"/>
      <c r="L25" s="1"/>
      <c r="M25" s="28"/>
    </row>
    <row r="26" spans="3:13" x14ac:dyDescent="0.25">
      <c r="C26" s="28" t="e">
        <f>VLOOKUP(B26,Library!G14:H209,2)</f>
        <v>#N/A</v>
      </c>
      <c r="D26" s="28"/>
      <c r="E26" s="28" t="e">
        <f t="shared" si="0"/>
        <v>#N/A</v>
      </c>
      <c r="H26" s="28"/>
      <c r="I26" s="1"/>
      <c r="J26" s="1"/>
      <c r="K26" s="28"/>
      <c r="L26" s="1"/>
      <c r="M26" s="28"/>
    </row>
    <row r="27" spans="3:13" x14ac:dyDescent="0.25">
      <c r="C27" s="28" t="e">
        <f>VLOOKUP(B27,Library!G15:H210,2)</f>
        <v>#N/A</v>
      </c>
      <c r="D27" s="28"/>
      <c r="E27" s="28" t="e">
        <f t="shared" si="0"/>
        <v>#N/A</v>
      </c>
      <c r="H27" s="28"/>
      <c r="I27" s="1"/>
      <c r="J27" s="1"/>
      <c r="K27" s="28"/>
      <c r="L27" s="1"/>
      <c r="M27" s="28"/>
    </row>
    <row r="28" spans="3:13" x14ac:dyDescent="0.25">
      <c r="C28" s="28" t="e">
        <f>VLOOKUP(B28,Library!G16:H211,2)</f>
        <v>#N/A</v>
      </c>
      <c r="D28" s="28"/>
      <c r="E28" s="28" t="e">
        <f t="shared" si="0"/>
        <v>#N/A</v>
      </c>
      <c r="H28" s="28"/>
      <c r="I28" s="1"/>
      <c r="J28" s="1"/>
      <c r="K28" s="28"/>
      <c r="L28" s="1"/>
      <c r="M28" s="28"/>
    </row>
    <row r="29" spans="3:13" x14ac:dyDescent="0.25">
      <c r="C29" s="28" t="e">
        <f>VLOOKUP(B29,Library!G17:H212,2)</f>
        <v>#N/A</v>
      </c>
      <c r="D29" s="28"/>
      <c r="E29" s="28" t="e">
        <f t="shared" si="0"/>
        <v>#N/A</v>
      </c>
      <c r="H29" s="1"/>
      <c r="I29" s="1"/>
      <c r="J29" s="1"/>
      <c r="K29" s="1"/>
      <c r="L29" s="28"/>
      <c r="M29" s="28"/>
    </row>
    <row r="30" spans="3:13" x14ac:dyDescent="0.25">
      <c r="C30" s="28" t="e">
        <f>VLOOKUP(B30,Library!G18:H213,2)</f>
        <v>#N/A</v>
      </c>
      <c r="D30" s="28"/>
      <c r="E30" s="28" t="e">
        <f t="shared" si="0"/>
        <v>#N/A</v>
      </c>
      <c r="H30" s="1"/>
      <c r="I30" s="1"/>
      <c r="J30" s="1"/>
      <c r="K30" s="1"/>
      <c r="L30" s="28"/>
      <c r="M30" s="28"/>
    </row>
    <row r="31" spans="3:13" x14ac:dyDescent="0.25">
      <c r="C31" s="28" t="e">
        <f>VLOOKUP(B31,Library!G19:H214,2)</f>
        <v>#N/A</v>
      </c>
      <c r="D31" s="28"/>
      <c r="E31" s="28" t="e">
        <f t="shared" si="0"/>
        <v>#N/A</v>
      </c>
      <c r="H31" s="1"/>
      <c r="I31" s="1"/>
      <c r="J31" s="1"/>
      <c r="K31" s="1"/>
      <c r="L31" s="28"/>
      <c r="M31" s="28"/>
    </row>
    <row r="32" spans="3:13" x14ac:dyDescent="0.25">
      <c r="C32" s="28" t="e">
        <f>VLOOKUP(B32,Library!G20:H215,2)</f>
        <v>#N/A</v>
      </c>
      <c r="D32" s="28"/>
      <c r="E32" s="28" t="e">
        <f t="shared" si="0"/>
        <v>#N/A</v>
      </c>
      <c r="H32" s="1"/>
      <c r="I32" s="1"/>
      <c r="J32" s="1"/>
      <c r="K32" s="1"/>
      <c r="L32" s="28"/>
      <c r="M32" s="28"/>
    </row>
    <row r="33" spans="3:13" x14ac:dyDescent="0.25">
      <c r="C33" s="28" t="e">
        <f>VLOOKUP(B33,Library!G21:H216,2)</f>
        <v>#N/A</v>
      </c>
      <c r="D33" s="28"/>
      <c r="E33" s="28" t="e">
        <f t="shared" si="0"/>
        <v>#N/A</v>
      </c>
      <c r="H33" s="1"/>
      <c r="I33" s="1"/>
      <c r="J33" s="1"/>
      <c r="K33" s="1"/>
      <c r="L33" s="28"/>
      <c r="M33" s="28"/>
    </row>
    <row r="34" spans="3:13" x14ac:dyDescent="0.25">
      <c r="C34" s="28" t="e">
        <f>VLOOKUP(B34,Library!G22:H217,2)</f>
        <v>#N/A</v>
      </c>
      <c r="D34" s="28"/>
      <c r="E34" s="28" t="e">
        <f t="shared" si="0"/>
        <v>#N/A</v>
      </c>
      <c r="H34" s="1"/>
      <c r="I34" s="1"/>
      <c r="J34" s="1"/>
      <c r="K34" s="1"/>
      <c r="L34" s="28"/>
      <c r="M34" s="28"/>
    </row>
    <row r="35" spans="3:13" x14ac:dyDescent="0.25">
      <c r="C35" s="28" t="e">
        <f>VLOOKUP(B35,Library!G23:H218,2)</f>
        <v>#N/A</v>
      </c>
      <c r="D35" s="28"/>
      <c r="E35" s="28" t="e">
        <f t="shared" si="0"/>
        <v>#N/A</v>
      </c>
      <c r="H35" s="1"/>
      <c r="I35" s="1"/>
      <c r="J35" s="1"/>
      <c r="K35" s="1"/>
      <c r="L35" s="28"/>
      <c r="M35" s="28"/>
    </row>
    <row r="36" spans="3:13" x14ac:dyDescent="0.25">
      <c r="C36" s="28" t="e">
        <f>VLOOKUP(B36,Library!G24:H219,2)</f>
        <v>#N/A</v>
      </c>
      <c r="D36" s="28"/>
      <c r="E36" s="28" t="e">
        <f t="shared" si="0"/>
        <v>#N/A</v>
      </c>
      <c r="H36" s="1"/>
      <c r="I36" s="1"/>
      <c r="J36" s="1"/>
      <c r="K36" s="1"/>
      <c r="L36" s="28"/>
      <c r="M36" s="28"/>
    </row>
    <row r="37" spans="3:13" x14ac:dyDescent="0.25">
      <c r="C37" s="28" t="e">
        <f>VLOOKUP(B37,Library!G25:H220,2)</f>
        <v>#N/A</v>
      </c>
      <c r="D37" s="28"/>
      <c r="E37" s="28" t="e">
        <f t="shared" si="0"/>
        <v>#N/A</v>
      </c>
      <c r="H37" s="1"/>
      <c r="I37" s="1"/>
      <c r="J37" s="1"/>
      <c r="K37" s="1"/>
      <c r="L37" s="28"/>
      <c r="M37" s="28"/>
    </row>
    <row r="38" spans="3:13" x14ac:dyDescent="0.25">
      <c r="C38" s="28" t="e">
        <f>VLOOKUP(B38,Library!G26:H221,2)</f>
        <v>#N/A</v>
      </c>
      <c r="D38" s="28"/>
      <c r="E38" s="28" t="e">
        <f t="shared" si="0"/>
        <v>#N/A</v>
      </c>
      <c r="H38" s="1"/>
      <c r="I38" s="1"/>
      <c r="J38" s="1"/>
      <c r="K38" s="1"/>
      <c r="L38" s="28"/>
      <c r="M38" s="28"/>
    </row>
    <row r="39" spans="3:13" x14ac:dyDescent="0.25">
      <c r="C39" s="28" t="e">
        <f>VLOOKUP(B39,Library!G27:H222,2)</f>
        <v>#N/A</v>
      </c>
      <c r="D39" s="28"/>
      <c r="E39" s="28" t="e">
        <f t="shared" si="0"/>
        <v>#N/A</v>
      </c>
      <c r="H39" s="1"/>
      <c r="I39" s="1"/>
      <c r="J39" s="1"/>
      <c r="K39" s="1"/>
      <c r="L39" s="28"/>
      <c r="M39" s="28"/>
    </row>
    <row r="40" spans="3:13" x14ac:dyDescent="0.25">
      <c r="C40" s="28" t="e">
        <f>VLOOKUP(B40,Library!G28:H223,2)</f>
        <v>#N/A</v>
      </c>
      <c r="D40" s="28"/>
      <c r="E40" s="28" t="e">
        <f t="shared" si="0"/>
        <v>#N/A</v>
      </c>
      <c r="H40" s="1"/>
      <c r="I40" s="1"/>
      <c r="J40" s="1"/>
      <c r="K40" s="1"/>
      <c r="L40" s="28"/>
      <c r="M40" s="28"/>
    </row>
    <row r="41" spans="3:13" x14ac:dyDescent="0.25">
      <c r="C41" s="28" t="e">
        <f>VLOOKUP(B41,Library!G29:H224,2)</f>
        <v>#N/A</v>
      </c>
      <c r="D41" s="28"/>
      <c r="E41" s="28" t="e">
        <f t="shared" si="0"/>
        <v>#N/A</v>
      </c>
      <c r="H41" s="1"/>
      <c r="I41" s="1"/>
      <c r="J41" s="1"/>
      <c r="K41" s="1"/>
      <c r="L41" s="28"/>
      <c r="M41" s="28"/>
    </row>
    <row r="42" spans="3:13" x14ac:dyDescent="0.25">
      <c r="C42" s="28" t="e">
        <f>VLOOKUP(B42,Library!G30:H225,2)</f>
        <v>#N/A</v>
      </c>
      <c r="D42" s="28"/>
      <c r="E42" s="28" t="e">
        <f t="shared" si="0"/>
        <v>#N/A</v>
      </c>
      <c r="H42" s="1"/>
      <c r="I42" s="1"/>
      <c r="J42" s="1"/>
      <c r="K42" s="1"/>
      <c r="L42" s="28"/>
      <c r="M42" s="28"/>
    </row>
    <row r="43" spans="3:13" x14ac:dyDescent="0.25">
      <c r="C43" s="28" t="e">
        <f>VLOOKUP(B43,Library!G31:H226,2)</f>
        <v>#N/A</v>
      </c>
      <c r="D43" s="28"/>
      <c r="E43" s="28" t="e">
        <f t="shared" si="0"/>
        <v>#N/A</v>
      </c>
      <c r="H43" s="1"/>
      <c r="I43" s="1"/>
      <c r="J43" s="1"/>
      <c r="K43" s="1"/>
      <c r="L43" s="28"/>
      <c r="M43" s="28"/>
    </row>
    <row r="44" spans="3:13" x14ac:dyDescent="0.25">
      <c r="C44" s="28" t="e">
        <f>VLOOKUP(B44,Library!G32:H227,2)</f>
        <v>#N/A</v>
      </c>
      <c r="D44" s="28"/>
      <c r="E44" s="28" t="e">
        <f t="shared" si="0"/>
        <v>#N/A</v>
      </c>
      <c r="H44" s="1"/>
      <c r="I44" s="1"/>
      <c r="J44" s="1"/>
      <c r="K44" s="1"/>
      <c r="L44" s="28"/>
      <c r="M44" s="28"/>
    </row>
    <row r="45" spans="3:13" x14ac:dyDescent="0.25">
      <c r="C45" s="28" t="e">
        <f>VLOOKUP(B45,Library!G33:H228,2)</f>
        <v>#N/A</v>
      </c>
      <c r="D45" s="28"/>
      <c r="E45" s="28" t="e">
        <f t="shared" si="0"/>
        <v>#N/A</v>
      </c>
      <c r="H45" s="1"/>
      <c r="I45" s="1"/>
      <c r="J45" s="1"/>
      <c r="K45" s="1"/>
      <c r="L45" s="28"/>
      <c r="M45" s="28"/>
    </row>
    <row r="46" spans="3:13" x14ac:dyDescent="0.25">
      <c r="C46" s="28" t="e">
        <f>VLOOKUP(B46,Library!G34:H229,2)</f>
        <v>#N/A</v>
      </c>
      <c r="D46" s="28"/>
      <c r="E46" s="28" t="e">
        <f t="shared" si="0"/>
        <v>#N/A</v>
      </c>
      <c r="H46" s="1"/>
      <c r="I46" s="1"/>
      <c r="J46" s="1"/>
      <c r="K46" s="1"/>
      <c r="L46" s="28"/>
      <c r="M46" s="28"/>
    </row>
    <row r="47" spans="3:13" x14ac:dyDescent="0.25">
      <c r="C47" s="28" t="e">
        <f>VLOOKUP(B47,Library!G35:H230,2)</f>
        <v>#N/A</v>
      </c>
      <c r="D47" s="28"/>
      <c r="E47" s="28" t="e">
        <f t="shared" si="0"/>
        <v>#N/A</v>
      </c>
      <c r="H47" s="1"/>
      <c r="I47" s="1"/>
      <c r="J47" s="1"/>
      <c r="K47" s="1"/>
      <c r="L47" s="28"/>
      <c r="M47" s="28"/>
    </row>
    <row r="48" spans="3:13" x14ac:dyDescent="0.25">
      <c r="C48" s="28" t="e">
        <f>VLOOKUP(B48,Library!G36:H231,2)</f>
        <v>#N/A</v>
      </c>
      <c r="D48" s="28"/>
      <c r="E48" s="28" t="e">
        <f t="shared" si="0"/>
        <v>#N/A</v>
      </c>
      <c r="H48" s="1"/>
      <c r="I48" s="1"/>
      <c r="J48" s="1"/>
      <c r="K48" s="1"/>
      <c r="L48" s="28"/>
      <c r="M48" s="28"/>
    </row>
    <row r="49" spans="3:13" x14ac:dyDescent="0.25">
      <c r="C49" s="28" t="e">
        <f>VLOOKUP(B49,Library!G37:H232,2)</f>
        <v>#N/A</v>
      </c>
      <c r="D49" s="28"/>
      <c r="E49" s="28" t="e">
        <f t="shared" si="0"/>
        <v>#N/A</v>
      </c>
      <c r="H49" s="1"/>
      <c r="I49" s="1"/>
      <c r="J49" s="1"/>
      <c r="K49" s="1"/>
      <c r="L49" s="28"/>
      <c r="M49" s="28"/>
    </row>
    <row r="50" spans="3:13" x14ac:dyDescent="0.25">
      <c r="C50" s="28" t="e">
        <f>VLOOKUP(B50,Library!G38:H233,2)</f>
        <v>#N/A</v>
      </c>
      <c r="D50" s="28"/>
      <c r="E50" s="28" t="e">
        <f t="shared" si="0"/>
        <v>#N/A</v>
      </c>
      <c r="H50" s="1"/>
      <c r="I50" s="1"/>
      <c r="J50" s="1"/>
      <c r="K50" s="1"/>
      <c r="L50" s="28"/>
      <c r="M50" s="28"/>
    </row>
    <row r="51" spans="3:13" x14ac:dyDescent="0.25">
      <c r="C51" s="28" t="e">
        <f>VLOOKUP(B51,Library!G39:H234,2)</f>
        <v>#N/A</v>
      </c>
      <c r="D51" s="28"/>
      <c r="E51" s="28" t="e">
        <f t="shared" si="0"/>
        <v>#N/A</v>
      </c>
      <c r="H51" s="1"/>
      <c r="I51" s="1"/>
      <c r="J51" s="1"/>
      <c r="K51" s="1"/>
      <c r="L51" s="28"/>
      <c r="M51" s="28"/>
    </row>
    <row r="52" spans="3:13" x14ac:dyDescent="0.25">
      <c r="C52" s="28" t="e">
        <f>VLOOKUP(B52,Library!G40:H235,2)</f>
        <v>#N/A</v>
      </c>
      <c r="D52" s="28"/>
      <c r="E52" s="28" t="e">
        <f t="shared" si="0"/>
        <v>#N/A</v>
      </c>
      <c r="H52" s="1"/>
      <c r="I52" s="1"/>
      <c r="J52" s="1"/>
      <c r="K52" s="1"/>
      <c r="L52" s="28"/>
      <c r="M52" s="28"/>
    </row>
    <row r="53" spans="3:13" x14ac:dyDescent="0.25">
      <c r="C53" s="28" t="e">
        <f>VLOOKUP(B53,Library!G41:H236,2)</f>
        <v>#N/A</v>
      </c>
      <c r="D53" s="28"/>
      <c r="E53" s="28" t="e">
        <f t="shared" si="0"/>
        <v>#N/A</v>
      </c>
      <c r="H53" s="1"/>
      <c r="I53" s="1"/>
      <c r="J53" s="1"/>
      <c r="K53" s="1"/>
      <c r="L53" s="28"/>
      <c r="M53" s="28"/>
    </row>
    <row r="54" spans="3:13" x14ac:dyDescent="0.25">
      <c r="C54" s="28" t="e">
        <f>VLOOKUP(B54,Library!G42:H237,2)</f>
        <v>#N/A</v>
      </c>
      <c r="D54" s="28"/>
      <c r="E54" s="28" t="e">
        <f t="shared" si="0"/>
        <v>#N/A</v>
      </c>
      <c r="H54" s="1"/>
      <c r="I54" s="1"/>
      <c r="J54" s="1"/>
      <c r="K54" s="1"/>
      <c r="L54" s="28"/>
      <c r="M54" s="28"/>
    </row>
    <row r="55" spans="3:13" x14ac:dyDescent="0.25">
      <c r="C55" s="28" t="e">
        <f>VLOOKUP(B55,Library!G43:H238,2)</f>
        <v>#N/A</v>
      </c>
      <c r="D55" s="28"/>
      <c r="E55" s="28" t="e">
        <f t="shared" si="0"/>
        <v>#N/A</v>
      </c>
      <c r="H55" s="1"/>
      <c r="I55" s="1"/>
      <c r="J55" s="1"/>
      <c r="K55" s="1"/>
      <c r="L55" s="28"/>
      <c r="M55" s="28"/>
    </row>
    <row r="56" spans="3:13" x14ac:dyDescent="0.25">
      <c r="C56" s="28" t="e">
        <f>VLOOKUP(B56,Library!G44:H239,2)</f>
        <v>#N/A</v>
      </c>
      <c r="D56" s="28"/>
      <c r="E56" s="28" t="e">
        <f t="shared" si="0"/>
        <v>#N/A</v>
      </c>
      <c r="H56" s="1"/>
      <c r="I56" s="1"/>
      <c r="J56" s="1"/>
      <c r="K56" s="1"/>
      <c r="L56" s="28"/>
      <c r="M56" s="28"/>
    </row>
    <row r="57" spans="3:13" x14ac:dyDescent="0.25">
      <c r="C57" s="28" t="e">
        <f>VLOOKUP(B57,Library!G45:H240,2)</f>
        <v>#N/A</v>
      </c>
      <c r="D57" s="28"/>
      <c r="E57" s="28" t="e">
        <f t="shared" si="0"/>
        <v>#N/A</v>
      </c>
      <c r="H57" s="1"/>
      <c r="I57" s="1"/>
      <c r="J57" s="1"/>
      <c r="K57" s="1"/>
      <c r="L57" s="28"/>
      <c r="M57" s="28"/>
    </row>
    <row r="58" spans="3:13" x14ac:dyDescent="0.25">
      <c r="C58" s="28" t="e">
        <f>VLOOKUP(B58,Library!G46:H241,2)</f>
        <v>#N/A</v>
      </c>
      <c r="D58" s="28"/>
      <c r="E58" s="28" t="e">
        <f t="shared" si="0"/>
        <v>#N/A</v>
      </c>
      <c r="H58" s="1"/>
      <c r="I58" s="1"/>
      <c r="J58" s="1"/>
      <c r="K58" s="1"/>
      <c r="L58" s="28"/>
      <c r="M58" s="28"/>
    </row>
    <row r="59" spans="3:13" x14ac:dyDescent="0.25">
      <c r="C59" s="28" t="e">
        <f>VLOOKUP(B59,Library!G47:H242,2)</f>
        <v>#N/A</v>
      </c>
      <c r="D59" s="28"/>
      <c r="E59" s="28" t="e">
        <f t="shared" si="0"/>
        <v>#N/A</v>
      </c>
      <c r="H59" s="1"/>
      <c r="I59" s="1"/>
      <c r="J59" s="1"/>
      <c r="K59" s="1"/>
      <c r="L59" s="28"/>
      <c r="M59" s="28"/>
    </row>
    <row r="60" spans="3:13" x14ac:dyDescent="0.25">
      <c r="C60" s="28" t="e">
        <f>VLOOKUP(B60,Library!G48:H243,2)</f>
        <v>#N/A</v>
      </c>
      <c r="D60" s="28"/>
      <c r="E60" s="28" t="e">
        <f t="shared" si="0"/>
        <v>#N/A</v>
      </c>
      <c r="H60" s="1"/>
      <c r="I60" s="1"/>
      <c r="J60" s="1"/>
      <c r="K60" s="1"/>
      <c r="L60" s="28"/>
      <c r="M60" s="28"/>
    </row>
    <row r="61" spans="3:13" x14ac:dyDescent="0.25">
      <c r="C61" s="28" t="e">
        <f>VLOOKUP(B61,Library!G49:H244,2)</f>
        <v>#N/A</v>
      </c>
      <c r="D61" s="28"/>
      <c r="E61" s="28" t="e">
        <f t="shared" si="0"/>
        <v>#N/A</v>
      </c>
      <c r="H61" s="1"/>
      <c r="I61" s="1"/>
      <c r="J61" s="1"/>
      <c r="K61" s="1"/>
      <c r="L61" s="28"/>
      <c r="M61" s="28"/>
    </row>
    <row r="62" spans="3:13" x14ac:dyDescent="0.25">
      <c r="C62" s="28" t="e">
        <f>VLOOKUP(B62,Library!G50:H245,2)</f>
        <v>#N/A</v>
      </c>
      <c r="D62" s="28"/>
      <c r="E62" s="28" t="e">
        <f t="shared" si="0"/>
        <v>#N/A</v>
      </c>
      <c r="H62" s="1"/>
      <c r="I62" s="1"/>
      <c r="J62" s="1"/>
      <c r="K62" s="1"/>
      <c r="L62" s="28"/>
      <c r="M62" s="28"/>
    </row>
    <row r="63" spans="3:13" x14ac:dyDescent="0.25">
      <c r="C63" s="28" t="e">
        <f>VLOOKUP(B63,Library!G51:H246,2)</f>
        <v>#N/A</v>
      </c>
      <c r="D63" s="28"/>
      <c r="E63" s="28" t="e">
        <f t="shared" si="0"/>
        <v>#N/A</v>
      </c>
      <c r="H63" s="1"/>
      <c r="I63" s="1"/>
      <c r="J63" s="1"/>
      <c r="K63" s="1"/>
      <c r="L63" s="28"/>
      <c r="M63" s="28"/>
    </row>
    <row r="64" spans="3:13" x14ac:dyDescent="0.25">
      <c r="C64" s="28" t="e">
        <f>VLOOKUP(B64,Library!G52:H247,2)</f>
        <v>#N/A</v>
      </c>
      <c r="D64" s="28"/>
      <c r="E64" s="28" t="e">
        <f t="shared" si="0"/>
        <v>#N/A</v>
      </c>
      <c r="H64" s="1"/>
      <c r="I64" s="1"/>
      <c r="J64" s="1"/>
      <c r="K64" s="1"/>
      <c r="L64" s="28"/>
      <c r="M64" s="28"/>
    </row>
    <row r="65" spans="3:13" x14ac:dyDescent="0.25">
      <c r="C65" s="28" t="e">
        <f>VLOOKUP(B65,Library!G53:H248,2)</f>
        <v>#N/A</v>
      </c>
      <c r="D65" s="28"/>
      <c r="E65" s="28" t="e">
        <f t="shared" si="0"/>
        <v>#N/A</v>
      </c>
      <c r="H65" s="1"/>
      <c r="I65" s="1"/>
      <c r="J65" s="1"/>
      <c r="K65" s="1"/>
      <c r="L65" s="28"/>
      <c r="M65" s="28"/>
    </row>
    <row r="66" spans="3:13" x14ac:dyDescent="0.25">
      <c r="C66" s="28" t="e">
        <f>VLOOKUP(B66,Library!G54:H249,2)</f>
        <v>#N/A</v>
      </c>
      <c r="D66" s="28"/>
      <c r="E66" s="28" t="e">
        <f t="shared" si="0"/>
        <v>#N/A</v>
      </c>
      <c r="H66" s="1"/>
      <c r="I66" s="1"/>
      <c r="J66" s="1"/>
      <c r="K66" s="1"/>
      <c r="L66" s="28"/>
      <c r="M66" s="28"/>
    </row>
    <row r="67" spans="3:13" x14ac:dyDescent="0.25">
      <c r="C67" s="28" t="e">
        <f>VLOOKUP(B67,Library!G55:H250,2)</f>
        <v>#N/A</v>
      </c>
      <c r="D67" s="28"/>
      <c r="E67" s="28" t="e">
        <f t="shared" si="0"/>
        <v>#N/A</v>
      </c>
      <c r="H67" s="1"/>
      <c r="I67" s="1"/>
      <c r="J67" s="1"/>
      <c r="K67" s="1"/>
      <c r="L67" s="28"/>
      <c r="M67" s="28"/>
    </row>
    <row r="68" spans="3:13" x14ac:dyDescent="0.25">
      <c r="C68" s="28" t="e">
        <f>VLOOKUP(B68,Library!G56:H251,2)</f>
        <v>#N/A</v>
      </c>
      <c r="D68" s="28"/>
      <c r="E68" s="28" t="e">
        <f t="shared" si="0"/>
        <v>#N/A</v>
      </c>
      <c r="H68" s="1"/>
      <c r="I68" s="1"/>
      <c r="J68" s="1"/>
      <c r="K68" s="1"/>
      <c r="L68" s="28"/>
      <c r="M68" s="28"/>
    </row>
    <row r="69" spans="3:13" x14ac:dyDescent="0.25">
      <c r="C69" s="28" t="e">
        <f>VLOOKUP(B69,Library!G57:H252,2)</f>
        <v>#N/A</v>
      </c>
      <c r="D69" s="28"/>
      <c r="E69" s="28" t="e">
        <f t="shared" si="0"/>
        <v>#N/A</v>
      </c>
      <c r="H69" s="1"/>
      <c r="I69" s="1"/>
      <c r="J69" s="1"/>
      <c r="K69" s="1"/>
      <c r="L69" s="28"/>
      <c r="M69" s="28"/>
    </row>
    <row r="70" spans="3:13" x14ac:dyDescent="0.25">
      <c r="C70" s="28" t="e">
        <f>VLOOKUP(B70,Library!G58:H253,2)</f>
        <v>#N/A</v>
      </c>
      <c r="D70" s="28"/>
      <c r="E70" s="28" t="e">
        <f t="shared" si="0"/>
        <v>#N/A</v>
      </c>
      <c r="H70" s="1"/>
      <c r="I70" s="1"/>
      <c r="J70" s="1"/>
      <c r="K70" s="1"/>
      <c r="L70" s="28"/>
      <c r="M70" s="28"/>
    </row>
    <row r="71" spans="3:13" x14ac:dyDescent="0.25">
      <c r="C71" s="28" t="e">
        <f>VLOOKUP(B71,Library!G59:H254,2)</f>
        <v>#N/A</v>
      </c>
      <c r="D71" s="28"/>
      <c r="E71" s="28" t="e">
        <f t="shared" si="0"/>
        <v>#N/A</v>
      </c>
      <c r="H71" s="1"/>
      <c r="I71" s="1"/>
      <c r="J71" s="1"/>
      <c r="K71" s="1"/>
      <c r="L71" s="28"/>
      <c r="M71" s="28"/>
    </row>
    <row r="72" spans="3:13" x14ac:dyDescent="0.25">
      <c r="C72" s="28" t="e">
        <f>VLOOKUP(B72,Library!G60:H255,2)</f>
        <v>#N/A</v>
      </c>
      <c r="D72" s="28"/>
      <c r="E72" s="28" t="e">
        <f t="shared" si="0"/>
        <v>#N/A</v>
      </c>
      <c r="H72" s="1"/>
      <c r="I72" s="1"/>
      <c r="J72" s="1"/>
      <c r="K72" s="1"/>
      <c r="L72" s="28"/>
      <c r="M72" s="28"/>
    </row>
    <row r="73" spans="3:13" x14ac:dyDescent="0.25">
      <c r="C73" s="28" t="e">
        <f>VLOOKUP(B73,Library!G61:H256,2)</f>
        <v>#N/A</v>
      </c>
      <c r="D73" s="28"/>
      <c r="E73" s="28" t="e">
        <f t="shared" si="0"/>
        <v>#N/A</v>
      </c>
      <c r="H73" s="1"/>
      <c r="I73" s="1"/>
      <c r="J73" s="1"/>
      <c r="K73" s="1"/>
      <c r="L73" s="28"/>
      <c r="M73" s="28"/>
    </row>
    <row r="74" spans="3:13" x14ac:dyDescent="0.25">
      <c r="C74" s="28" t="e">
        <f>VLOOKUP(B74,Library!G62:H257,2)</f>
        <v>#N/A</v>
      </c>
      <c r="D74" s="28"/>
      <c r="E74" s="28" t="e">
        <f t="shared" si="0"/>
        <v>#N/A</v>
      </c>
      <c r="H74" s="1"/>
      <c r="I74" s="1"/>
      <c r="J74" s="1"/>
      <c r="K74" s="1"/>
      <c r="L74" s="28"/>
      <c r="M74" s="28"/>
    </row>
    <row r="75" spans="3:13" x14ac:dyDescent="0.25">
      <c r="C75" s="28" t="e">
        <f>VLOOKUP(B75,Library!G63:H258,2)</f>
        <v>#N/A</v>
      </c>
      <c r="D75" s="28"/>
      <c r="E75" s="28" t="e">
        <f t="shared" si="0"/>
        <v>#N/A</v>
      </c>
      <c r="H75" s="1"/>
      <c r="I75" s="1"/>
      <c r="J75" s="1"/>
      <c r="K75" s="1"/>
      <c r="L75" s="28"/>
      <c r="M75" s="28"/>
    </row>
    <row r="76" spans="3:13" x14ac:dyDescent="0.25">
      <c r="C76" s="28" t="e">
        <f>VLOOKUP(B76,Library!G64:H259,2)</f>
        <v>#N/A</v>
      </c>
      <c r="D76" s="28"/>
      <c r="E76" s="28" t="e">
        <f t="shared" si="0"/>
        <v>#N/A</v>
      </c>
      <c r="H76" s="1"/>
      <c r="I76" s="1"/>
      <c r="J76" s="1"/>
      <c r="K76" s="1"/>
      <c r="L76" s="28"/>
      <c r="M76" s="28"/>
    </row>
    <row r="77" spans="3:13" x14ac:dyDescent="0.25">
      <c r="C77" s="28" t="e">
        <f>VLOOKUP(B77,Library!G65:H260,2)</f>
        <v>#N/A</v>
      </c>
      <c r="D77" s="28"/>
      <c r="E77" s="28" t="e">
        <f t="shared" si="0"/>
        <v>#N/A</v>
      </c>
      <c r="H77" s="1"/>
      <c r="I77" s="1"/>
      <c r="J77" s="1"/>
      <c r="K77" s="1"/>
      <c r="L77" s="28"/>
      <c r="M77" s="28"/>
    </row>
    <row r="78" spans="3:13" x14ac:dyDescent="0.25">
      <c r="C78" s="28" t="e">
        <f>VLOOKUP(B78,Library!G66:H261,2)</f>
        <v>#N/A</v>
      </c>
      <c r="D78" s="28"/>
      <c r="E78" s="28" t="e">
        <f t="shared" si="0"/>
        <v>#N/A</v>
      </c>
      <c r="H78" s="1"/>
      <c r="I78" s="1"/>
      <c r="J78" s="1"/>
      <c r="K78" s="1"/>
      <c r="L78" s="28"/>
      <c r="M78" s="28"/>
    </row>
    <row r="79" spans="3:13" x14ac:dyDescent="0.25">
      <c r="C79" s="28" t="e">
        <f>VLOOKUP(B79,Library!G67:H262,2)</f>
        <v>#N/A</v>
      </c>
      <c r="D79" s="28"/>
      <c r="E79" s="28" t="e">
        <f t="shared" ref="E79:E142" si="1">D79*C79</f>
        <v>#N/A</v>
      </c>
      <c r="H79" s="1"/>
      <c r="I79" s="1"/>
      <c r="J79" s="1"/>
      <c r="K79" s="1"/>
      <c r="L79" s="28"/>
      <c r="M79" s="28"/>
    </row>
    <row r="80" spans="3:13" x14ac:dyDescent="0.25">
      <c r="C80" s="28" t="e">
        <f>VLOOKUP(B80,Library!G68:H263,2)</f>
        <v>#N/A</v>
      </c>
      <c r="D80" s="28"/>
      <c r="E80" s="28" t="e">
        <f t="shared" si="1"/>
        <v>#N/A</v>
      </c>
      <c r="H80" s="1"/>
      <c r="I80" s="1"/>
      <c r="J80" s="1"/>
      <c r="K80" s="1"/>
      <c r="L80" s="28"/>
      <c r="M80" s="28"/>
    </row>
    <row r="81" spans="3:13" x14ac:dyDescent="0.25">
      <c r="C81" s="28" t="e">
        <f>VLOOKUP(B81,Library!G69:H264,2)</f>
        <v>#N/A</v>
      </c>
      <c r="D81" s="28"/>
      <c r="E81" s="28" t="e">
        <f t="shared" si="1"/>
        <v>#N/A</v>
      </c>
      <c r="H81" s="1"/>
      <c r="I81" s="1"/>
      <c r="J81" s="1"/>
      <c r="K81" s="1"/>
      <c r="L81" s="28"/>
      <c r="M81" s="28"/>
    </row>
    <row r="82" spans="3:13" x14ac:dyDescent="0.25">
      <c r="C82" s="28" t="e">
        <f>VLOOKUP(B82,Library!G70:H265,2)</f>
        <v>#N/A</v>
      </c>
      <c r="D82" s="28"/>
      <c r="E82" s="28" t="e">
        <f t="shared" si="1"/>
        <v>#N/A</v>
      </c>
      <c r="H82" s="1"/>
      <c r="I82" s="1"/>
      <c r="J82" s="1"/>
      <c r="K82" s="1"/>
      <c r="L82" s="28"/>
      <c r="M82" s="28"/>
    </row>
    <row r="83" spans="3:13" x14ac:dyDescent="0.25">
      <c r="C83" s="28" t="e">
        <f>VLOOKUP(B83,Library!G71:H266,2)</f>
        <v>#N/A</v>
      </c>
      <c r="D83" s="28"/>
      <c r="E83" s="28" t="e">
        <f t="shared" si="1"/>
        <v>#N/A</v>
      </c>
      <c r="H83" s="1"/>
      <c r="I83" s="1"/>
      <c r="J83" s="1"/>
      <c r="K83" s="1"/>
      <c r="L83" s="28"/>
      <c r="M83" s="28"/>
    </row>
    <row r="84" spans="3:13" x14ac:dyDescent="0.25">
      <c r="C84" s="28" t="e">
        <f>VLOOKUP(B84,Library!G72:H267,2)</f>
        <v>#N/A</v>
      </c>
      <c r="D84" s="28"/>
      <c r="E84" s="28" t="e">
        <f t="shared" si="1"/>
        <v>#N/A</v>
      </c>
      <c r="H84" s="1"/>
      <c r="I84" s="1"/>
      <c r="J84" s="1"/>
      <c r="K84" s="1"/>
      <c r="L84" s="28"/>
      <c r="M84" s="28"/>
    </row>
    <row r="85" spans="3:13" x14ac:dyDescent="0.25">
      <c r="C85" s="28" t="e">
        <f>VLOOKUP(B85,Library!G73:H268,2)</f>
        <v>#N/A</v>
      </c>
      <c r="D85" s="28"/>
      <c r="E85" s="28" t="e">
        <f t="shared" si="1"/>
        <v>#N/A</v>
      </c>
      <c r="H85" s="1"/>
      <c r="I85" s="1"/>
      <c r="J85" s="1"/>
      <c r="K85" s="1"/>
      <c r="L85" s="28"/>
      <c r="M85" s="28"/>
    </row>
    <row r="86" spans="3:13" x14ac:dyDescent="0.25">
      <c r="C86" s="28" t="e">
        <f>VLOOKUP(B86,Library!G74:H269,2)</f>
        <v>#N/A</v>
      </c>
      <c r="D86" s="28"/>
      <c r="E86" s="28" t="e">
        <f t="shared" si="1"/>
        <v>#N/A</v>
      </c>
      <c r="H86" s="1"/>
      <c r="I86" s="1"/>
      <c r="J86" s="1"/>
      <c r="K86" s="1"/>
      <c r="L86" s="28"/>
      <c r="M86" s="28"/>
    </row>
    <row r="87" spans="3:13" x14ac:dyDescent="0.25">
      <c r="C87" s="28" t="e">
        <f>VLOOKUP(B87,Library!G75:H270,2)</f>
        <v>#N/A</v>
      </c>
      <c r="D87" s="28"/>
      <c r="E87" s="28" t="e">
        <f t="shared" si="1"/>
        <v>#N/A</v>
      </c>
      <c r="H87" s="1"/>
      <c r="I87" s="1"/>
      <c r="J87" s="1"/>
      <c r="K87" s="1"/>
      <c r="L87" s="28"/>
      <c r="M87" s="28"/>
    </row>
    <row r="88" spans="3:13" x14ac:dyDescent="0.25">
      <c r="C88" s="28" t="e">
        <f>VLOOKUP(B88,Library!G76:H271,2)</f>
        <v>#N/A</v>
      </c>
      <c r="D88" s="28"/>
      <c r="E88" s="28" t="e">
        <f t="shared" si="1"/>
        <v>#N/A</v>
      </c>
      <c r="H88" s="1"/>
      <c r="I88" s="1"/>
      <c r="J88" s="1"/>
      <c r="K88" s="1"/>
      <c r="L88" s="28"/>
      <c r="M88" s="28"/>
    </row>
    <row r="89" spans="3:13" x14ac:dyDescent="0.25">
      <c r="C89" s="28" t="e">
        <f>VLOOKUP(B89,Library!G77:H272,2)</f>
        <v>#N/A</v>
      </c>
      <c r="D89" s="28"/>
      <c r="E89" s="28" t="e">
        <f t="shared" si="1"/>
        <v>#N/A</v>
      </c>
      <c r="H89" s="1"/>
      <c r="I89" s="1"/>
      <c r="J89" s="1"/>
      <c r="K89" s="1"/>
      <c r="L89" s="28"/>
      <c r="M89" s="28"/>
    </row>
    <row r="90" spans="3:13" x14ac:dyDescent="0.25">
      <c r="C90" s="28" t="e">
        <f>VLOOKUP(B90,Library!G78:H273,2)</f>
        <v>#N/A</v>
      </c>
      <c r="D90" s="28"/>
      <c r="E90" s="28" t="e">
        <f t="shared" si="1"/>
        <v>#N/A</v>
      </c>
      <c r="H90" s="1"/>
      <c r="I90" s="1"/>
      <c r="J90" s="1"/>
      <c r="K90" s="1"/>
      <c r="L90" s="28"/>
      <c r="M90" s="28"/>
    </row>
    <row r="91" spans="3:13" x14ac:dyDescent="0.25">
      <c r="C91" s="28" t="e">
        <f>VLOOKUP(B91,Library!G79:H274,2)</f>
        <v>#N/A</v>
      </c>
      <c r="D91" s="28"/>
      <c r="E91" s="28" t="e">
        <f t="shared" si="1"/>
        <v>#N/A</v>
      </c>
      <c r="H91" s="1"/>
      <c r="I91" s="1"/>
      <c r="J91" s="1"/>
      <c r="K91" s="1"/>
      <c r="L91" s="28"/>
      <c r="M91" s="28"/>
    </row>
    <row r="92" spans="3:13" x14ac:dyDescent="0.25">
      <c r="C92" s="28" t="e">
        <f>VLOOKUP(B92,Library!G80:H275,2)</f>
        <v>#N/A</v>
      </c>
      <c r="D92" s="28"/>
      <c r="E92" s="28" t="e">
        <f t="shared" si="1"/>
        <v>#N/A</v>
      </c>
      <c r="H92" s="1"/>
      <c r="I92" s="1"/>
      <c r="J92" s="1"/>
      <c r="K92" s="1"/>
      <c r="L92" s="28"/>
      <c r="M92" s="28"/>
    </row>
    <row r="93" spans="3:13" x14ac:dyDescent="0.25">
      <c r="C93" s="28" t="e">
        <f>VLOOKUP(B93,Library!G81:H276,2)</f>
        <v>#N/A</v>
      </c>
      <c r="D93" s="28"/>
      <c r="E93" s="28" t="e">
        <f t="shared" si="1"/>
        <v>#N/A</v>
      </c>
      <c r="H93" s="1"/>
      <c r="I93" s="1"/>
      <c r="J93" s="1"/>
      <c r="K93" s="1"/>
      <c r="L93" s="28"/>
      <c r="M93" s="28"/>
    </row>
    <row r="94" spans="3:13" x14ac:dyDescent="0.25">
      <c r="C94" s="28" t="e">
        <f>VLOOKUP(B94,Library!G82:H277,2)</f>
        <v>#N/A</v>
      </c>
      <c r="D94" s="28"/>
      <c r="E94" s="28" t="e">
        <f t="shared" si="1"/>
        <v>#N/A</v>
      </c>
      <c r="H94" s="1"/>
      <c r="I94" s="1"/>
      <c r="J94" s="1"/>
      <c r="K94" s="1"/>
      <c r="L94" s="28"/>
      <c r="M94" s="28"/>
    </row>
    <row r="95" spans="3:13" x14ac:dyDescent="0.25">
      <c r="C95" s="28" t="e">
        <f>VLOOKUP(B95,Library!G83:H278,2)</f>
        <v>#N/A</v>
      </c>
      <c r="D95" s="28"/>
      <c r="E95" s="28" t="e">
        <f t="shared" si="1"/>
        <v>#N/A</v>
      </c>
      <c r="H95" s="1"/>
      <c r="I95" s="1"/>
      <c r="J95" s="1"/>
      <c r="K95" s="1"/>
      <c r="L95" s="28"/>
      <c r="M95" s="28"/>
    </row>
    <row r="96" spans="3:13" x14ac:dyDescent="0.25">
      <c r="C96" s="28" t="e">
        <f>VLOOKUP(B96,Library!G84:H279,2)</f>
        <v>#N/A</v>
      </c>
      <c r="D96" s="28"/>
      <c r="E96" s="28" t="e">
        <f t="shared" si="1"/>
        <v>#N/A</v>
      </c>
      <c r="H96" s="1"/>
      <c r="I96" s="1"/>
      <c r="J96" s="1"/>
      <c r="K96" s="1"/>
      <c r="L96" s="28"/>
      <c r="M96" s="28"/>
    </row>
    <row r="97" spans="3:13" x14ac:dyDescent="0.25">
      <c r="C97" s="28" t="e">
        <f>VLOOKUP(B97,Library!G85:H280,2)</f>
        <v>#N/A</v>
      </c>
      <c r="D97" s="28"/>
      <c r="E97" s="28" t="e">
        <f t="shared" si="1"/>
        <v>#N/A</v>
      </c>
      <c r="H97" s="1"/>
      <c r="I97" s="1"/>
      <c r="J97" s="1"/>
      <c r="K97" s="1"/>
      <c r="L97" s="28"/>
      <c r="M97" s="28"/>
    </row>
    <row r="98" spans="3:13" x14ac:dyDescent="0.25">
      <c r="C98" s="28" t="e">
        <f>VLOOKUP(B98,Library!G86:H281,2)</f>
        <v>#N/A</v>
      </c>
      <c r="D98" s="28"/>
      <c r="E98" s="28" t="e">
        <f t="shared" si="1"/>
        <v>#N/A</v>
      </c>
      <c r="H98" s="1"/>
      <c r="I98" s="1"/>
      <c r="J98" s="1"/>
      <c r="K98" s="1"/>
      <c r="L98" s="28"/>
      <c r="M98" s="28"/>
    </row>
    <row r="99" spans="3:13" x14ac:dyDescent="0.25">
      <c r="C99" s="28" t="e">
        <f>VLOOKUP(B99,Library!G87:H282,2)</f>
        <v>#N/A</v>
      </c>
      <c r="D99" s="28"/>
      <c r="E99" s="28" t="e">
        <f t="shared" si="1"/>
        <v>#N/A</v>
      </c>
      <c r="H99" s="1"/>
      <c r="I99" s="1"/>
      <c r="J99" s="1"/>
      <c r="K99" s="1"/>
      <c r="L99" s="28"/>
      <c r="M99" s="28"/>
    </row>
    <row r="100" spans="3:13" x14ac:dyDescent="0.25">
      <c r="C100" s="28" t="e">
        <f>VLOOKUP(B100,Library!G88:H283,2)</f>
        <v>#N/A</v>
      </c>
      <c r="D100" s="28"/>
      <c r="E100" s="28" t="e">
        <f t="shared" si="1"/>
        <v>#N/A</v>
      </c>
      <c r="H100" s="1"/>
      <c r="I100" s="1"/>
      <c r="J100" s="1"/>
      <c r="K100" s="1"/>
      <c r="L100" s="28"/>
      <c r="M100" s="28"/>
    </row>
    <row r="101" spans="3:13" x14ac:dyDescent="0.25">
      <c r="C101" s="28" t="e">
        <f>VLOOKUP(B101,Library!G89:H284,2)</f>
        <v>#N/A</v>
      </c>
      <c r="D101" s="28"/>
      <c r="E101" s="28" t="e">
        <f t="shared" si="1"/>
        <v>#N/A</v>
      </c>
      <c r="H101" s="1"/>
      <c r="I101" s="1"/>
      <c r="J101" s="1"/>
      <c r="K101" s="1"/>
      <c r="L101" s="28"/>
      <c r="M101" s="28"/>
    </row>
    <row r="102" spans="3:13" x14ac:dyDescent="0.25">
      <c r="C102" s="28" t="e">
        <f>VLOOKUP(B102,Library!G90:H285,2)</f>
        <v>#N/A</v>
      </c>
      <c r="D102" s="28"/>
      <c r="E102" s="28" t="e">
        <f t="shared" si="1"/>
        <v>#N/A</v>
      </c>
      <c r="H102" s="1"/>
      <c r="I102" s="1"/>
      <c r="J102" s="1"/>
      <c r="K102" s="1"/>
      <c r="L102" s="28"/>
      <c r="M102" s="28"/>
    </row>
    <row r="103" spans="3:13" x14ac:dyDescent="0.25">
      <c r="C103" s="28" t="e">
        <f>VLOOKUP(B103,Library!G91:H286,2)</f>
        <v>#N/A</v>
      </c>
      <c r="D103" s="28"/>
      <c r="E103" s="28" t="e">
        <f t="shared" si="1"/>
        <v>#N/A</v>
      </c>
      <c r="H103" s="1"/>
      <c r="I103" s="1"/>
      <c r="J103" s="1"/>
      <c r="K103" s="1"/>
      <c r="L103" s="28"/>
      <c r="M103" s="28"/>
    </row>
    <row r="104" spans="3:13" x14ac:dyDescent="0.25">
      <c r="C104" s="28" t="e">
        <f>VLOOKUP(B104,Library!G92:H287,2)</f>
        <v>#N/A</v>
      </c>
      <c r="D104" s="28"/>
      <c r="E104" s="28" t="e">
        <f t="shared" si="1"/>
        <v>#N/A</v>
      </c>
      <c r="H104" s="1"/>
      <c r="I104" s="1"/>
      <c r="J104" s="1"/>
      <c r="K104" s="1"/>
      <c r="L104" s="28"/>
      <c r="M104" s="28"/>
    </row>
    <row r="105" spans="3:13" x14ac:dyDescent="0.25">
      <c r="C105" s="28" t="e">
        <f>VLOOKUP(B105,Library!G93:H288,2)</f>
        <v>#N/A</v>
      </c>
      <c r="D105" s="28"/>
      <c r="E105" s="28" t="e">
        <f t="shared" si="1"/>
        <v>#N/A</v>
      </c>
      <c r="H105" s="1"/>
      <c r="I105" s="1"/>
      <c r="J105" s="1"/>
      <c r="K105" s="1"/>
      <c r="L105" s="28"/>
      <c r="M105" s="28"/>
    </row>
    <row r="106" spans="3:13" x14ac:dyDescent="0.25">
      <c r="C106" s="28" t="e">
        <f>VLOOKUP(B106,Library!G94:H289,2)</f>
        <v>#N/A</v>
      </c>
      <c r="D106" s="28"/>
      <c r="E106" s="28" t="e">
        <f t="shared" si="1"/>
        <v>#N/A</v>
      </c>
      <c r="H106" s="1"/>
      <c r="I106" s="1"/>
      <c r="J106" s="1"/>
      <c r="K106" s="1"/>
      <c r="L106" s="28"/>
      <c r="M106" s="28"/>
    </row>
    <row r="107" spans="3:13" x14ac:dyDescent="0.25">
      <c r="C107" s="28" t="e">
        <f>VLOOKUP(B107,Library!G95:H290,2)</f>
        <v>#N/A</v>
      </c>
      <c r="D107" s="28"/>
      <c r="E107" s="28" t="e">
        <f t="shared" si="1"/>
        <v>#N/A</v>
      </c>
      <c r="H107" s="1"/>
      <c r="I107" s="1"/>
      <c r="J107" s="1"/>
      <c r="K107" s="1"/>
      <c r="L107" s="28"/>
      <c r="M107" s="28"/>
    </row>
    <row r="108" spans="3:13" x14ac:dyDescent="0.25">
      <c r="C108" s="28" t="e">
        <f>VLOOKUP(B108,Library!G96:H291,2)</f>
        <v>#N/A</v>
      </c>
      <c r="D108" s="28"/>
      <c r="E108" s="28" t="e">
        <f t="shared" si="1"/>
        <v>#N/A</v>
      </c>
      <c r="H108" s="1"/>
      <c r="I108" s="1"/>
      <c r="J108" s="1"/>
      <c r="K108" s="1"/>
      <c r="L108" s="28"/>
      <c r="M108" s="28"/>
    </row>
    <row r="109" spans="3:13" x14ac:dyDescent="0.25">
      <c r="C109" s="28" t="e">
        <f>VLOOKUP(B109,Library!G97:H292,2)</f>
        <v>#N/A</v>
      </c>
      <c r="D109" s="28"/>
      <c r="E109" s="28" t="e">
        <f t="shared" si="1"/>
        <v>#N/A</v>
      </c>
      <c r="H109" s="1"/>
      <c r="I109" s="1"/>
      <c r="J109" s="1"/>
      <c r="K109" s="1"/>
      <c r="L109" s="28"/>
      <c r="M109" s="28"/>
    </row>
    <row r="110" spans="3:13" x14ac:dyDescent="0.25">
      <c r="C110" s="28" t="e">
        <f>VLOOKUP(B110,Library!G98:H293,2)</f>
        <v>#N/A</v>
      </c>
      <c r="D110" s="28"/>
      <c r="E110" s="28" t="e">
        <f t="shared" si="1"/>
        <v>#N/A</v>
      </c>
      <c r="H110" s="1"/>
      <c r="I110" s="1"/>
      <c r="J110" s="1"/>
      <c r="K110" s="1"/>
      <c r="L110" s="28"/>
      <c r="M110" s="28"/>
    </row>
    <row r="111" spans="3:13" x14ac:dyDescent="0.25">
      <c r="C111" s="28" t="e">
        <f>VLOOKUP(B111,Library!G99:H294,2)</f>
        <v>#N/A</v>
      </c>
      <c r="D111" s="28"/>
      <c r="E111" s="28" t="e">
        <f t="shared" si="1"/>
        <v>#N/A</v>
      </c>
      <c r="H111" s="1"/>
      <c r="I111" s="1"/>
      <c r="J111" s="1"/>
      <c r="K111" s="1"/>
      <c r="L111" s="28"/>
      <c r="M111" s="28"/>
    </row>
    <row r="112" spans="3:13" x14ac:dyDescent="0.25">
      <c r="C112" s="28" t="e">
        <f>VLOOKUP(B112,Library!G100:H295,2)</f>
        <v>#N/A</v>
      </c>
      <c r="D112" s="28"/>
      <c r="E112" s="28" t="e">
        <f t="shared" si="1"/>
        <v>#N/A</v>
      </c>
      <c r="H112" s="1"/>
      <c r="I112" s="1"/>
      <c r="J112" s="1"/>
      <c r="K112" s="1"/>
      <c r="L112" s="28"/>
      <c r="M112" s="28"/>
    </row>
    <row r="113" spans="3:13" x14ac:dyDescent="0.25">
      <c r="C113" s="28" t="e">
        <f>VLOOKUP(B113,Library!G101:H296,2)</f>
        <v>#N/A</v>
      </c>
      <c r="D113" s="28"/>
      <c r="E113" s="28" t="e">
        <f t="shared" si="1"/>
        <v>#N/A</v>
      </c>
      <c r="H113" s="1"/>
      <c r="I113" s="1"/>
      <c r="J113" s="1"/>
      <c r="K113" s="1"/>
      <c r="L113" s="28"/>
      <c r="M113" s="28"/>
    </row>
    <row r="114" spans="3:13" x14ac:dyDescent="0.25">
      <c r="C114" s="28" t="e">
        <f>VLOOKUP(B114,Library!G102:H297,2)</f>
        <v>#N/A</v>
      </c>
      <c r="D114" s="28"/>
      <c r="E114" s="28" t="e">
        <f t="shared" si="1"/>
        <v>#N/A</v>
      </c>
      <c r="H114" s="1"/>
      <c r="I114" s="1"/>
      <c r="J114" s="1"/>
      <c r="K114" s="1"/>
      <c r="L114" s="28"/>
      <c r="M114" s="28"/>
    </row>
    <row r="115" spans="3:13" x14ac:dyDescent="0.25">
      <c r="C115" s="28" t="e">
        <f>VLOOKUP(B115,Library!G103:H298,2)</f>
        <v>#N/A</v>
      </c>
      <c r="D115" s="28"/>
      <c r="E115" s="28" t="e">
        <f t="shared" si="1"/>
        <v>#N/A</v>
      </c>
      <c r="H115" s="1"/>
      <c r="I115" s="1"/>
      <c r="J115" s="1"/>
      <c r="K115" s="1"/>
      <c r="L115" s="28"/>
      <c r="M115" s="28"/>
    </row>
    <row r="116" spans="3:13" x14ac:dyDescent="0.25">
      <c r="C116" s="28" t="e">
        <f>VLOOKUP(B116,Library!G104:H299,2)</f>
        <v>#N/A</v>
      </c>
      <c r="D116" s="28"/>
      <c r="E116" s="28" t="e">
        <f t="shared" si="1"/>
        <v>#N/A</v>
      </c>
      <c r="H116" s="1"/>
      <c r="I116" s="1"/>
      <c r="J116" s="1"/>
      <c r="K116" s="1"/>
      <c r="L116" s="28"/>
      <c r="M116" s="28"/>
    </row>
    <row r="117" spans="3:13" x14ac:dyDescent="0.25">
      <c r="C117" s="28" t="e">
        <f>VLOOKUP(B117,Library!G105:H300,2)</f>
        <v>#N/A</v>
      </c>
      <c r="D117" s="28"/>
      <c r="E117" s="28" t="e">
        <f t="shared" si="1"/>
        <v>#N/A</v>
      </c>
      <c r="H117" s="1"/>
      <c r="I117" s="1"/>
      <c r="J117" s="1"/>
      <c r="K117" s="1"/>
      <c r="L117" s="28"/>
      <c r="M117" s="28"/>
    </row>
    <row r="118" spans="3:13" x14ac:dyDescent="0.25">
      <c r="C118" s="28" t="e">
        <f>VLOOKUP(B118,Library!G106:H301,2)</f>
        <v>#N/A</v>
      </c>
      <c r="D118" s="28"/>
      <c r="E118" s="28" t="e">
        <f t="shared" si="1"/>
        <v>#N/A</v>
      </c>
      <c r="H118" s="1"/>
      <c r="I118" s="1"/>
      <c r="J118" s="1"/>
      <c r="K118" s="1"/>
      <c r="L118" s="28"/>
      <c r="M118" s="28"/>
    </row>
    <row r="119" spans="3:13" x14ac:dyDescent="0.25">
      <c r="C119" s="28" t="e">
        <f>VLOOKUP(B119,Library!G107:H302,2)</f>
        <v>#N/A</v>
      </c>
      <c r="D119" s="28"/>
      <c r="E119" s="28" t="e">
        <f t="shared" si="1"/>
        <v>#N/A</v>
      </c>
      <c r="H119" s="1"/>
      <c r="I119" s="1"/>
      <c r="J119" s="1"/>
      <c r="K119" s="1"/>
      <c r="L119" s="28"/>
      <c r="M119" s="28"/>
    </row>
    <row r="120" spans="3:13" x14ac:dyDescent="0.25">
      <c r="C120" s="28" t="e">
        <f>VLOOKUP(B120,Library!G108:H303,2)</f>
        <v>#N/A</v>
      </c>
      <c r="D120" s="28"/>
      <c r="E120" s="28" t="e">
        <f t="shared" si="1"/>
        <v>#N/A</v>
      </c>
      <c r="H120" s="1"/>
      <c r="I120" s="1"/>
      <c r="J120" s="1"/>
      <c r="K120" s="1"/>
      <c r="L120" s="28"/>
      <c r="M120" s="28"/>
    </row>
    <row r="121" spans="3:13" x14ac:dyDescent="0.25">
      <c r="C121" s="28" t="e">
        <f>VLOOKUP(B121,Library!G109:H304,2)</f>
        <v>#N/A</v>
      </c>
      <c r="D121" s="28"/>
      <c r="E121" s="28" t="e">
        <f t="shared" si="1"/>
        <v>#N/A</v>
      </c>
      <c r="H121" s="1"/>
      <c r="I121" s="1"/>
      <c r="J121" s="1"/>
      <c r="K121" s="1"/>
      <c r="L121" s="28"/>
      <c r="M121" s="28"/>
    </row>
    <row r="122" spans="3:13" x14ac:dyDescent="0.25">
      <c r="C122" s="28" t="e">
        <f>VLOOKUP(B122,Library!G110:H305,2)</f>
        <v>#N/A</v>
      </c>
      <c r="D122" s="28"/>
      <c r="E122" s="28" t="e">
        <f t="shared" si="1"/>
        <v>#N/A</v>
      </c>
      <c r="H122" s="1"/>
      <c r="I122" s="1"/>
      <c r="J122" s="1"/>
      <c r="K122" s="1"/>
      <c r="L122" s="28"/>
      <c r="M122" s="28"/>
    </row>
    <row r="123" spans="3:13" x14ac:dyDescent="0.25">
      <c r="C123" s="28" t="e">
        <f>VLOOKUP(B123,Library!G111:H306,2)</f>
        <v>#N/A</v>
      </c>
      <c r="D123" s="28"/>
      <c r="E123" s="28" t="e">
        <f t="shared" si="1"/>
        <v>#N/A</v>
      </c>
      <c r="H123" s="1"/>
      <c r="I123" s="1"/>
      <c r="J123" s="1"/>
      <c r="K123" s="1"/>
      <c r="L123" s="28"/>
      <c r="M123" s="28"/>
    </row>
    <row r="124" spans="3:13" x14ac:dyDescent="0.25">
      <c r="C124" s="28" t="e">
        <f>VLOOKUP(B124,Library!G112:H307,2)</f>
        <v>#N/A</v>
      </c>
      <c r="D124" s="28"/>
      <c r="E124" s="28" t="e">
        <f t="shared" si="1"/>
        <v>#N/A</v>
      </c>
      <c r="H124" s="1"/>
      <c r="I124" s="1"/>
      <c r="J124" s="1"/>
      <c r="K124" s="1"/>
      <c r="L124" s="28"/>
      <c r="M124" s="28"/>
    </row>
    <row r="125" spans="3:13" x14ac:dyDescent="0.25">
      <c r="C125" s="28" t="e">
        <f>VLOOKUP(B125,Library!G113:H308,2)</f>
        <v>#N/A</v>
      </c>
      <c r="D125" s="28"/>
      <c r="E125" s="28" t="e">
        <f t="shared" si="1"/>
        <v>#N/A</v>
      </c>
      <c r="H125" s="1"/>
      <c r="I125" s="1"/>
      <c r="J125" s="1"/>
      <c r="K125" s="1"/>
      <c r="L125" s="28"/>
      <c r="M125" s="28"/>
    </row>
    <row r="126" spans="3:13" x14ac:dyDescent="0.25">
      <c r="C126" s="28" t="e">
        <f>VLOOKUP(B126,Library!G114:H309,2)</f>
        <v>#N/A</v>
      </c>
      <c r="D126" s="28"/>
      <c r="E126" s="28" t="e">
        <f t="shared" si="1"/>
        <v>#N/A</v>
      </c>
      <c r="H126" s="1"/>
      <c r="I126" s="1"/>
      <c r="J126" s="1"/>
      <c r="K126" s="1"/>
      <c r="L126" s="28"/>
      <c r="M126" s="28"/>
    </row>
    <row r="127" spans="3:13" x14ac:dyDescent="0.25">
      <c r="C127" s="28" t="e">
        <f>VLOOKUP(B127,Library!G115:H310,2)</f>
        <v>#N/A</v>
      </c>
      <c r="D127" s="28"/>
      <c r="E127" s="28" t="e">
        <f t="shared" si="1"/>
        <v>#N/A</v>
      </c>
      <c r="H127" s="1"/>
      <c r="I127" s="1"/>
      <c r="J127" s="1"/>
      <c r="K127" s="1"/>
      <c r="L127" s="28"/>
      <c r="M127" s="28"/>
    </row>
    <row r="128" spans="3:13" x14ac:dyDescent="0.25">
      <c r="C128" s="28" t="e">
        <f>VLOOKUP(B128,Library!G116:H311,2)</f>
        <v>#N/A</v>
      </c>
      <c r="D128" s="28"/>
      <c r="E128" s="28" t="e">
        <f t="shared" si="1"/>
        <v>#N/A</v>
      </c>
      <c r="H128" s="1"/>
      <c r="I128" s="1"/>
      <c r="J128" s="1"/>
      <c r="K128" s="1"/>
      <c r="L128" s="28"/>
      <c r="M128" s="28"/>
    </row>
    <row r="129" spans="3:13" x14ac:dyDescent="0.25">
      <c r="C129" s="28" t="e">
        <f>VLOOKUP(B129,Library!G117:H312,2)</f>
        <v>#N/A</v>
      </c>
      <c r="D129" s="28"/>
      <c r="E129" s="28" t="e">
        <f t="shared" si="1"/>
        <v>#N/A</v>
      </c>
      <c r="H129" s="1"/>
      <c r="I129" s="1"/>
      <c r="J129" s="1"/>
      <c r="K129" s="1"/>
      <c r="L129" s="28"/>
      <c r="M129" s="28"/>
    </row>
    <row r="130" spans="3:13" x14ac:dyDescent="0.25">
      <c r="C130" s="28" t="e">
        <f>VLOOKUP(B130,Library!G118:H313,2)</f>
        <v>#N/A</v>
      </c>
      <c r="D130" s="28"/>
      <c r="E130" s="28" t="e">
        <f t="shared" si="1"/>
        <v>#N/A</v>
      </c>
      <c r="H130" s="1"/>
      <c r="I130" s="1"/>
      <c r="J130" s="1"/>
      <c r="K130" s="1"/>
      <c r="L130" s="28"/>
      <c r="M130" s="28"/>
    </row>
    <row r="131" spans="3:13" x14ac:dyDescent="0.25">
      <c r="C131" s="28" t="e">
        <f>VLOOKUP(B131,Library!G119:H314,2)</f>
        <v>#N/A</v>
      </c>
      <c r="D131" s="28"/>
      <c r="E131" s="28" t="e">
        <f t="shared" si="1"/>
        <v>#N/A</v>
      </c>
      <c r="H131" s="1"/>
      <c r="I131" s="1"/>
      <c r="J131" s="1"/>
      <c r="K131" s="1"/>
      <c r="L131" s="28"/>
      <c r="M131" s="28"/>
    </row>
    <row r="132" spans="3:13" x14ac:dyDescent="0.25">
      <c r="C132" s="28" t="e">
        <f>VLOOKUP(B132,Library!G120:H315,2)</f>
        <v>#N/A</v>
      </c>
      <c r="D132" s="28"/>
      <c r="E132" s="28" t="e">
        <f t="shared" si="1"/>
        <v>#N/A</v>
      </c>
      <c r="H132" s="1"/>
      <c r="I132" s="1"/>
      <c r="J132" s="1"/>
      <c r="K132" s="1"/>
      <c r="L132" s="28"/>
      <c r="M132" s="28"/>
    </row>
    <row r="133" spans="3:13" x14ac:dyDescent="0.25">
      <c r="C133" s="28" t="e">
        <f>VLOOKUP(B133,Library!G121:H316,2)</f>
        <v>#N/A</v>
      </c>
      <c r="D133" s="28"/>
      <c r="E133" s="28" t="e">
        <f t="shared" si="1"/>
        <v>#N/A</v>
      </c>
      <c r="H133" s="1"/>
      <c r="I133" s="1"/>
      <c r="J133" s="1"/>
      <c r="K133" s="1"/>
      <c r="L133" s="28"/>
      <c r="M133" s="28"/>
    </row>
    <row r="134" spans="3:13" x14ac:dyDescent="0.25">
      <c r="C134" s="28" t="e">
        <f>VLOOKUP(B134,Library!G122:H317,2)</f>
        <v>#N/A</v>
      </c>
      <c r="D134" s="28"/>
      <c r="E134" s="28" t="e">
        <f t="shared" si="1"/>
        <v>#N/A</v>
      </c>
      <c r="H134" s="1"/>
      <c r="I134" s="1"/>
      <c r="J134" s="1"/>
      <c r="K134" s="1"/>
      <c r="L134" s="28"/>
      <c r="M134" s="28"/>
    </row>
    <row r="135" spans="3:13" x14ac:dyDescent="0.25">
      <c r="C135" s="28" t="e">
        <f>VLOOKUP(B135,Library!G123:H318,2)</f>
        <v>#N/A</v>
      </c>
      <c r="D135" s="28"/>
      <c r="E135" s="28" t="e">
        <f t="shared" si="1"/>
        <v>#N/A</v>
      </c>
      <c r="H135" s="1"/>
      <c r="I135" s="1"/>
      <c r="J135" s="1"/>
      <c r="K135" s="1"/>
      <c r="L135" s="28"/>
      <c r="M135" s="28"/>
    </row>
    <row r="136" spans="3:13" x14ac:dyDescent="0.25">
      <c r="C136" s="28" t="e">
        <f>VLOOKUP(B136,Library!G124:H319,2)</f>
        <v>#N/A</v>
      </c>
      <c r="D136" s="28"/>
      <c r="E136" s="28" t="e">
        <f t="shared" si="1"/>
        <v>#N/A</v>
      </c>
      <c r="H136" s="1"/>
      <c r="I136" s="1"/>
      <c r="J136" s="1"/>
      <c r="K136" s="1"/>
      <c r="L136" s="28"/>
      <c r="M136" s="28"/>
    </row>
    <row r="137" spans="3:13" x14ac:dyDescent="0.25">
      <c r="C137" s="28" t="e">
        <f>VLOOKUP(B137,Library!G125:H320,2)</f>
        <v>#N/A</v>
      </c>
      <c r="D137" s="28"/>
      <c r="E137" s="28" t="e">
        <f t="shared" si="1"/>
        <v>#N/A</v>
      </c>
      <c r="H137" s="1"/>
      <c r="I137" s="1"/>
      <c r="J137" s="1"/>
      <c r="K137" s="1"/>
      <c r="L137" s="28"/>
      <c r="M137" s="28"/>
    </row>
    <row r="138" spans="3:13" x14ac:dyDescent="0.25">
      <c r="C138" s="28" t="e">
        <f>VLOOKUP(B138,Library!G126:H321,2)</f>
        <v>#N/A</v>
      </c>
      <c r="D138" s="28"/>
      <c r="E138" s="28" t="e">
        <f t="shared" si="1"/>
        <v>#N/A</v>
      </c>
      <c r="H138" s="1"/>
      <c r="I138" s="1"/>
      <c r="J138" s="1"/>
      <c r="K138" s="1"/>
      <c r="L138" s="28"/>
      <c r="M138" s="28"/>
    </row>
    <row r="139" spans="3:13" x14ac:dyDescent="0.25">
      <c r="C139" s="28" t="e">
        <f>VLOOKUP(B139,Library!G127:H322,2)</f>
        <v>#N/A</v>
      </c>
      <c r="D139" s="28"/>
      <c r="E139" s="28" t="e">
        <f t="shared" si="1"/>
        <v>#N/A</v>
      </c>
      <c r="H139" s="1"/>
      <c r="I139" s="1"/>
      <c r="J139" s="1"/>
      <c r="K139" s="1"/>
      <c r="L139" s="28"/>
      <c r="M139" s="28"/>
    </row>
    <row r="140" spans="3:13" x14ac:dyDescent="0.25">
      <c r="C140" s="28" t="e">
        <f>VLOOKUP(B140,Library!G128:H323,2)</f>
        <v>#N/A</v>
      </c>
      <c r="D140" s="28"/>
      <c r="E140" s="28" t="e">
        <f t="shared" si="1"/>
        <v>#N/A</v>
      </c>
      <c r="H140" s="1"/>
      <c r="I140" s="1"/>
      <c r="J140" s="1"/>
      <c r="K140" s="1"/>
      <c r="L140" s="28"/>
      <c r="M140" s="28"/>
    </row>
    <row r="141" spans="3:13" x14ac:dyDescent="0.25">
      <c r="C141" s="28" t="e">
        <f>VLOOKUP(B141,Library!G129:H324,2)</f>
        <v>#N/A</v>
      </c>
      <c r="D141" s="28"/>
      <c r="E141" s="28" t="e">
        <f t="shared" si="1"/>
        <v>#N/A</v>
      </c>
      <c r="H141" s="1"/>
      <c r="I141" s="1"/>
      <c r="J141" s="1"/>
      <c r="K141" s="1"/>
      <c r="L141" s="28"/>
      <c r="M141" s="28"/>
    </row>
    <row r="142" spans="3:13" x14ac:dyDescent="0.25">
      <c r="C142" s="28" t="e">
        <f>VLOOKUP(B142,Library!G130:H325,2)</f>
        <v>#N/A</v>
      </c>
      <c r="D142" s="28"/>
      <c r="E142" s="28" t="e">
        <f t="shared" si="1"/>
        <v>#N/A</v>
      </c>
      <c r="H142" s="1"/>
      <c r="I142" s="1"/>
      <c r="J142" s="1"/>
      <c r="K142" s="1"/>
      <c r="L142" s="28"/>
      <c r="M142" s="28"/>
    </row>
    <row r="143" spans="3:13" x14ac:dyDescent="0.25">
      <c r="C143" s="28" t="e">
        <f>VLOOKUP(B143,Library!G131:H326,2)</f>
        <v>#N/A</v>
      </c>
      <c r="D143" s="28"/>
      <c r="E143" s="28" t="e">
        <f t="shared" ref="E143:E196" si="2">D143*C143</f>
        <v>#N/A</v>
      </c>
      <c r="H143" s="1"/>
      <c r="I143" s="1"/>
      <c r="J143" s="1"/>
      <c r="K143" s="1"/>
      <c r="L143" s="28"/>
      <c r="M143" s="28"/>
    </row>
    <row r="144" spans="3:13" x14ac:dyDescent="0.25">
      <c r="C144" s="28" t="e">
        <f>VLOOKUP(B144,Library!G132:H327,2)</f>
        <v>#N/A</v>
      </c>
      <c r="D144" s="28"/>
      <c r="E144" s="28" t="e">
        <f t="shared" si="2"/>
        <v>#N/A</v>
      </c>
      <c r="H144" s="1"/>
      <c r="I144" s="1"/>
      <c r="J144" s="1"/>
      <c r="K144" s="1"/>
      <c r="L144" s="28"/>
      <c r="M144" s="28"/>
    </row>
    <row r="145" spans="3:13" x14ac:dyDescent="0.25">
      <c r="C145" s="28" t="e">
        <f>VLOOKUP(B145,Library!G133:H328,2)</f>
        <v>#N/A</v>
      </c>
      <c r="D145" s="28"/>
      <c r="E145" s="28" t="e">
        <f t="shared" si="2"/>
        <v>#N/A</v>
      </c>
      <c r="H145" s="1"/>
      <c r="I145" s="1"/>
      <c r="J145" s="1"/>
      <c r="K145" s="1"/>
      <c r="L145" s="28"/>
      <c r="M145" s="28"/>
    </row>
    <row r="146" spans="3:13" x14ac:dyDescent="0.25">
      <c r="C146" s="28" t="e">
        <f>VLOOKUP(B146,Library!G134:H329,2)</f>
        <v>#N/A</v>
      </c>
      <c r="D146" s="28"/>
      <c r="E146" s="28" t="e">
        <f t="shared" si="2"/>
        <v>#N/A</v>
      </c>
      <c r="H146" s="1"/>
      <c r="I146" s="1"/>
      <c r="J146" s="1"/>
      <c r="K146" s="1"/>
      <c r="L146" s="28"/>
      <c r="M146" s="28"/>
    </row>
    <row r="147" spans="3:13" x14ac:dyDescent="0.25">
      <c r="C147" s="28" t="e">
        <f>VLOOKUP(B147,Library!G135:H330,2)</f>
        <v>#N/A</v>
      </c>
      <c r="D147" s="28"/>
      <c r="E147" s="28" t="e">
        <f t="shared" si="2"/>
        <v>#N/A</v>
      </c>
      <c r="H147" s="1"/>
      <c r="I147" s="1"/>
      <c r="J147" s="1"/>
      <c r="K147" s="1"/>
      <c r="L147" s="28"/>
      <c r="M147" s="28"/>
    </row>
    <row r="148" spans="3:13" x14ac:dyDescent="0.25">
      <c r="C148" s="28" t="e">
        <f>VLOOKUP(B148,Library!G136:H331,2)</f>
        <v>#N/A</v>
      </c>
      <c r="D148" s="28"/>
      <c r="E148" s="28" t="e">
        <f t="shared" si="2"/>
        <v>#N/A</v>
      </c>
      <c r="H148" s="1"/>
      <c r="I148" s="1"/>
      <c r="J148" s="1"/>
      <c r="K148" s="1"/>
      <c r="L148" s="28"/>
      <c r="M148" s="28"/>
    </row>
    <row r="149" spans="3:13" x14ac:dyDescent="0.25">
      <c r="C149" s="28" t="e">
        <f>VLOOKUP(B149,Library!G137:H332,2)</f>
        <v>#N/A</v>
      </c>
      <c r="D149" s="28"/>
      <c r="E149" s="28" t="e">
        <f t="shared" si="2"/>
        <v>#N/A</v>
      </c>
      <c r="H149" s="1"/>
      <c r="I149" s="1"/>
      <c r="J149" s="1"/>
      <c r="K149" s="1"/>
      <c r="L149" s="28"/>
      <c r="M149" s="28"/>
    </row>
    <row r="150" spans="3:13" x14ac:dyDescent="0.25">
      <c r="C150" s="28" t="e">
        <f>VLOOKUP(B150,Library!G138:H333,2)</f>
        <v>#N/A</v>
      </c>
      <c r="D150" s="28"/>
      <c r="E150" s="28" t="e">
        <f t="shared" si="2"/>
        <v>#N/A</v>
      </c>
      <c r="H150" s="1"/>
      <c r="I150" s="1"/>
      <c r="J150" s="1"/>
      <c r="K150" s="1"/>
      <c r="L150" s="28"/>
      <c r="M150" s="28"/>
    </row>
    <row r="151" spans="3:13" x14ac:dyDescent="0.25">
      <c r="C151" s="28" t="e">
        <f>VLOOKUP(B151,Library!G139:H334,2)</f>
        <v>#N/A</v>
      </c>
      <c r="D151" s="28"/>
      <c r="E151" s="28" t="e">
        <f t="shared" si="2"/>
        <v>#N/A</v>
      </c>
      <c r="H151" s="1"/>
      <c r="I151" s="1"/>
      <c r="J151" s="1"/>
      <c r="K151" s="1"/>
      <c r="L151" s="28"/>
      <c r="M151" s="28"/>
    </row>
    <row r="152" spans="3:13" x14ac:dyDescent="0.25">
      <c r="C152" s="28" t="e">
        <f>VLOOKUP(B152,Library!G140:H335,2)</f>
        <v>#N/A</v>
      </c>
      <c r="D152" s="28"/>
      <c r="E152" s="28" t="e">
        <f t="shared" si="2"/>
        <v>#N/A</v>
      </c>
      <c r="H152" s="1"/>
      <c r="I152" s="1"/>
      <c r="J152" s="1"/>
      <c r="K152" s="1"/>
      <c r="L152" s="28"/>
      <c r="M152" s="28"/>
    </row>
    <row r="153" spans="3:13" x14ac:dyDescent="0.25">
      <c r="C153" s="28" t="e">
        <f>VLOOKUP(B153,Library!G141:H336,2)</f>
        <v>#N/A</v>
      </c>
      <c r="D153" s="28"/>
      <c r="E153" s="28" t="e">
        <f t="shared" si="2"/>
        <v>#N/A</v>
      </c>
      <c r="H153" s="1"/>
      <c r="I153" s="1"/>
      <c r="J153" s="1"/>
      <c r="K153" s="1"/>
      <c r="L153" s="28"/>
      <c r="M153" s="28"/>
    </row>
    <row r="154" spans="3:13" x14ac:dyDescent="0.25">
      <c r="C154" s="28" t="e">
        <f>VLOOKUP(B154,Library!G142:H337,2)</f>
        <v>#N/A</v>
      </c>
      <c r="D154" s="28"/>
      <c r="E154" s="28" t="e">
        <f t="shared" si="2"/>
        <v>#N/A</v>
      </c>
      <c r="H154" s="1"/>
      <c r="I154" s="1"/>
      <c r="J154" s="1"/>
      <c r="K154" s="1"/>
      <c r="L154" s="28"/>
      <c r="M154" s="28"/>
    </row>
    <row r="155" spans="3:13" x14ac:dyDescent="0.25">
      <c r="C155" s="28" t="e">
        <f>VLOOKUP(B155,Library!G143:H338,2)</f>
        <v>#N/A</v>
      </c>
      <c r="D155" s="28"/>
      <c r="E155" s="28" t="e">
        <f t="shared" si="2"/>
        <v>#N/A</v>
      </c>
      <c r="H155" s="1"/>
      <c r="I155" s="1"/>
      <c r="J155" s="1"/>
      <c r="K155" s="1"/>
      <c r="L155" s="28"/>
      <c r="M155" s="28"/>
    </row>
    <row r="156" spans="3:13" x14ac:dyDescent="0.25">
      <c r="C156" s="28" t="e">
        <f>VLOOKUP(B156,Library!G144:H339,2)</f>
        <v>#N/A</v>
      </c>
      <c r="D156" s="28"/>
      <c r="E156" s="28" t="e">
        <f t="shared" si="2"/>
        <v>#N/A</v>
      </c>
      <c r="H156" s="1"/>
      <c r="I156" s="1"/>
      <c r="J156" s="1"/>
      <c r="K156" s="1"/>
      <c r="L156" s="28"/>
      <c r="M156" s="28"/>
    </row>
    <row r="157" spans="3:13" x14ac:dyDescent="0.25">
      <c r="C157" s="28" t="e">
        <f>VLOOKUP(B157,Library!G145:H340,2)</f>
        <v>#N/A</v>
      </c>
      <c r="D157" s="28"/>
      <c r="E157" s="28" t="e">
        <f t="shared" si="2"/>
        <v>#N/A</v>
      </c>
      <c r="H157" s="1"/>
      <c r="I157" s="1"/>
      <c r="J157" s="1"/>
      <c r="K157" s="1"/>
      <c r="L157" s="28"/>
      <c r="M157" s="28"/>
    </row>
    <row r="158" spans="3:13" x14ac:dyDescent="0.25">
      <c r="C158" s="28" t="e">
        <f>VLOOKUP(B158,Library!G146:H341,2)</f>
        <v>#N/A</v>
      </c>
      <c r="D158" s="28"/>
      <c r="E158" s="28" t="e">
        <f t="shared" si="2"/>
        <v>#N/A</v>
      </c>
      <c r="H158" s="1"/>
      <c r="I158" s="1"/>
      <c r="J158" s="1"/>
      <c r="K158" s="1"/>
      <c r="L158" s="28"/>
      <c r="M158" s="28"/>
    </row>
    <row r="159" spans="3:13" x14ac:dyDescent="0.25">
      <c r="C159" s="28" t="e">
        <f>VLOOKUP(B159,Library!G147:H342,2)</f>
        <v>#N/A</v>
      </c>
      <c r="D159" s="28"/>
      <c r="E159" s="28" t="e">
        <f t="shared" si="2"/>
        <v>#N/A</v>
      </c>
      <c r="H159" s="1"/>
      <c r="I159" s="1"/>
      <c r="J159" s="1"/>
      <c r="K159" s="1"/>
      <c r="L159" s="28"/>
      <c r="M159" s="28"/>
    </row>
    <row r="160" spans="3:13" x14ac:dyDescent="0.25">
      <c r="C160" s="28" t="e">
        <f>VLOOKUP(B160,Library!G148:H343,2)</f>
        <v>#N/A</v>
      </c>
      <c r="D160" s="28"/>
      <c r="E160" s="28" t="e">
        <f t="shared" si="2"/>
        <v>#N/A</v>
      </c>
      <c r="H160" s="1"/>
      <c r="I160" s="1"/>
      <c r="J160" s="1"/>
      <c r="K160" s="1"/>
      <c r="L160" s="28"/>
      <c r="M160" s="28"/>
    </row>
    <row r="161" spans="3:13" x14ac:dyDescent="0.25">
      <c r="C161" s="28" t="e">
        <f>VLOOKUP(B161,Library!G149:H344,2)</f>
        <v>#N/A</v>
      </c>
      <c r="D161" s="28"/>
      <c r="E161" s="28" t="e">
        <f t="shared" si="2"/>
        <v>#N/A</v>
      </c>
      <c r="H161" s="1"/>
      <c r="I161" s="1"/>
      <c r="J161" s="1"/>
      <c r="K161" s="1"/>
      <c r="L161" s="28"/>
      <c r="M161" s="28"/>
    </row>
    <row r="162" spans="3:13" x14ac:dyDescent="0.25">
      <c r="C162" s="28" t="e">
        <f>VLOOKUP(B162,Library!G150:H345,2)</f>
        <v>#N/A</v>
      </c>
      <c r="D162" s="28"/>
      <c r="E162" s="28" t="e">
        <f t="shared" si="2"/>
        <v>#N/A</v>
      </c>
      <c r="H162" s="1"/>
      <c r="I162" s="1"/>
      <c r="J162" s="1"/>
      <c r="K162" s="1"/>
      <c r="L162" s="28"/>
      <c r="M162" s="28"/>
    </row>
    <row r="163" spans="3:13" x14ac:dyDescent="0.25">
      <c r="C163" s="28" t="e">
        <f>VLOOKUP(B163,Library!G151:H346,2)</f>
        <v>#N/A</v>
      </c>
      <c r="D163" s="28"/>
      <c r="E163" s="28" t="e">
        <f t="shared" si="2"/>
        <v>#N/A</v>
      </c>
      <c r="H163" s="1"/>
      <c r="I163" s="1"/>
      <c r="J163" s="1"/>
      <c r="K163" s="1"/>
      <c r="L163" s="28"/>
      <c r="M163" s="28"/>
    </row>
    <row r="164" spans="3:13" x14ac:dyDescent="0.25">
      <c r="C164" s="28" t="e">
        <f>VLOOKUP(B164,Library!G152:H347,2)</f>
        <v>#N/A</v>
      </c>
      <c r="D164" s="28"/>
      <c r="E164" s="28" t="e">
        <f t="shared" si="2"/>
        <v>#N/A</v>
      </c>
      <c r="H164" s="1"/>
      <c r="I164" s="1"/>
      <c r="J164" s="1"/>
      <c r="K164" s="1"/>
      <c r="L164" s="28"/>
      <c r="M164" s="28"/>
    </row>
    <row r="165" spans="3:13" x14ac:dyDescent="0.25">
      <c r="C165" s="28" t="e">
        <f>VLOOKUP(B165,Library!G153:H348,2)</f>
        <v>#N/A</v>
      </c>
      <c r="D165" s="28"/>
      <c r="E165" s="28" t="e">
        <f t="shared" si="2"/>
        <v>#N/A</v>
      </c>
      <c r="H165" s="1"/>
      <c r="I165" s="1"/>
      <c r="J165" s="1"/>
      <c r="K165" s="1"/>
      <c r="L165" s="28"/>
      <c r="M165" s="28"/>
    </row>
    <row r="166" spans="3:13" x14ac:dyDescent="0.25">
      <c r="C166" s="28" t="e">
        <f>VLOOKUP(B166,Library!G154:H349,2)</f>
        <v>#N/A</v>
      </c>
      <c r="D166" s="28"/>
      <c r="E166" s="28" t="e">
        <f t="shared" si="2"/>
        <v>#N/A</v>
      </c>
      <c r="H166" s="1"/>
      <c r="I166" s="1"/>
      <c r="J166" s="1"/>
      <c r="K166" s="1"/>
      <c r="L166" s="28"/>
      <c r="M166" s="28"/>
    </row>
    <row r="167" spans="3:13" x14ac:dyDescent="0.25">
      <c r="C167" s="28" t="e">
        <f>VLOOKUP(B167,Library!G155:H350,2)</f>
        <v>#N/A</v>
      </c>
      <c r="D167" s="28"/>
      <c r="E167" s="28" t="e">
        <f t="shared" si="2"/>
        <v>#N/A</v>
      </c>
      <c r="H167" s="1"/>
      <c r="I167" s="1"/>
      <c r="J167" s="1"/>
      <c r="K167" s="1"/>
      <c r="L167" s="28"/>
      <c r="M167" s="28"/>
    </row>
    <row r="168" spans="3:13" x14ac:dyDescent="0.25">
      <c r="C168" s="28" t="e">
        <f>VLOOKUP(B168,Library!G156:H351,2)</f>
        <v>#N/A</v>
      </c>
      <c r="D168" s="28"/>
      <c r="E168" s="28" t="e">
        <f t="shared" si="2"/>
        <v>#N/A</v>
      </c>
      <c r="H168" s="1"/>
      <c r="I168" s="1"/>
      <c r="J168" s="1"/>
      <c r="K168" s="1"/>
      <c r="L168" s="28"/>
      <c r="M168" s="28"/>
    </row>
    <row r="169" spans="3:13" x14ac:dyDescent="0.25">
      <c r="C169" s="28" t="e">
        <f>VLOOKUP(B169,Library!G157:H352,2)</f>
        <v>#N/A</v>
      </c>
      <c r="D169" s="28"/>
      <c r="E169" s="28" t="e">
        <f t="shared" si="2"/>
        <v>#N/A</v>
      </c>
      <c r="H169" s="1"/>
      <c r="I169" s="1"/>
      <c r="J169" s="1"/>
      <c r="K169" s="1"/>
      <c r="L169" s="28"/>
      <c r="M169" s="28"/>
    </row>
    <row r="170" spans="3:13" x14ac:dyDescent="0.25">
      <c r="C170" s="28" t="e">
        <f>VLOOKUP(B170,Library!G158:H353,2)</f>
        <v>#N/A</v>
      </c>
      <c r="D170" s="28"/>
      <c r="E170" s="28" t="e">
        <f t="shared" si="2"/>
        <v>#N/A</v>
      </c>
      <c r="H170" s="1"/>
      <c r="I170" s="1"/>
      <c r="J170" s="1"/>
      <c r="K170" s="1"/>
      <c r="L170" s="28"/>
      <c r="M170" s="28"/>
    </row>
    <row r="171" spans="3:13" x14ac:dyDescent="0.25">
      <c r="C171" s="28" t="e">
        <f>VLOOKUP(B171,Library!G159:H354,2)</f>
        <v>#N/A</v>
      </c>
      <c r="D171" s="28"/>
      <c r="E171" s="28" t="e">
        <f t="shared" si="2"/>
        <v>#N/A</v>
      </c>
      <c r="H171" s="1"/>
      <c r="I171" s="1"/>
      <c r="J171" s="1"/>
      <c r="K171" s="1"/>
      <c r="L171" s="28"/>
      <c r="M171" s="28"/>
    </row>
    <row r="172" spans="3:13" x14ac:dyDescent="0.25">
      <c r="C172" s="28" t="e">
        <f>VLOOKUP(B172,Library!G160:H355,2)</f>
        <v>#N/A</v>
      </c>
      <c r="D172" s="28"/>
      <c r="E172" s="28" t="e">
        <f t="shared" si="2"/>
        <v>#N/A</v>
      </c>
      <c r="H172" s="28"/>
      <c r="I172" s="1"/>
      <c r="J172" s="1"/>
      <c r="K172" s="1"/>
      <c r="L172" s="28"/>
      <c r="M172" s="28"/>
    </row>
    <row r="173" spans="3:13" x14ac:dyDescent="0.25">
      <c r="C173" s="28" t="e">
        <f>VLOOKUP(B173,Library!G161:H356,2)</f>
        <v>#N/A</v>
      </c>
      <c r="D173" s="28"/>
      <c r="E173" s="28" t="e">
        <f t="shared" si="2"/>
        <v>#N/A</v>
      </c>
      <c r="H173" s="28"/>
      <c r="I173" s="1"/>
      <c r="J173" s="1"/>
      <c r="K173" s="1"/>
      <c r="L173" s="28"/>
      <c r="M173" s="28"/>
    </row>
    <row r="174" spans="3:13" x14ac:dyDescent="0.25">
      <c r="C174" s="28" t="e">
        <f>VLOOKUP(B174,Library!G162:H357,2)</f>
        <v>#N/A</v>
      </c>
      <c r="D174" s="28"/>
      <c r="E174" s="28" t="e">
        <f t="shared" si="2"/>
        <v>#N/A</v>
      </c>
      <c r="H174" s="28"/>
      <c r="I174" s="1"/>
      <c r="J174" s="1"/>
      <c r="K174" s="1"/>
      <c r="L174" s="28"/>
      <c r="M174" s="28"/>
    </row>
    <row r="175" spans="3:13" x14ac:dyDescent="0.25">
      <c r="C175" s="28" t="e">
        <f>VLOOKUP(B175,Library!G163:H358,2)</f>
        <v>#N/A</v>
      </c>
      <c r="D175" s="28"/>
      <c r="E175" s="28" t="e">
        <f t="shared" si="2"/>
        <v>#N/A</v>
      </c>
      <c r="H175" s="28"/>
      <c r="I175" s="1"/>
      <c r="J175" s="1"/>
      <c r="K175" s="1"/>
      <c r="L175" s="28"/>
      <c r="M175" s="28"/>
    </row>
    <row r="176" spans="3:13" x14ac:dyDescent="0.25">
      <c r="C176" s="28" t="e">
        <f>VLOOKUP(B176,Library!G164:H359,2)</f>
        <v>#N/A</v>
      </c>
      <c r="D176" s="28"/>
      <c r="E176" s="28" t="e">
        <f t="shared" si="2"/>
        <v>#N/A</v>
      </c>
      <c r="H176" s="28"/>
      <c r="I176" s="1"/>
      <c r="J176" s="1"/>
      <c r="K176" s="1"/>
      <c r="L176" s="28"/>
      <c r="M176" s="28"/>
    </row>
    <row r="177" spans="3:13" x14ac:dyDescent="0.25">
      <c r="C177" s="28" t="e">
        <f>VLOOKUP(B177,Library!G165:H360,2)</f>
        <v>#N/A</v>
      </c>
      <c r="D177" s="28"/>
      <c r="E177" s="28" t="e">
        <f t="shared" si="2"/>
        <v>#N/A</v>
      </c>
      <c r="H177" s="28"/>
      <c r="I177" s="1"/>
      <c r="J177" s="1"/>
      <c r="K177" s="1"/>
      <c r="L177" s="28"/>
      <c r="M177" s="28"/>
    </row>
    <row r="178" spans="3:13" x14ac:dyDescent="0.25">
      <c r="C178" s="28" t="e">
        <f>VLOOKUP(B178,Library!G166:H361,2)</f>
        <v>#N/A</v>
      </c>
      <c r="D178" s="28"/>
      <c r="E178" s="28" t="e">
        <f t="shared" si="2"/>
        <v>#N/A</v>
      </c>
      <c r="H178" s="28"/>
      <c r="I178" s="28"/>
      <c r="J178" s="28"/>
      <c r="K178" s="1"/>
      <c r="L178" s="28"/>
      <c r="M178" s="28"/>
    </row>
    <row r="179" spans="3:13" x14ac:dyDescent="0.25">
      <c r="C179" s="28" t="e">
        <f>VLOOKUP(B179,Library!G167:H362,2)</f>
        <v>#N/A</v>
      </c>
      <c r="D179" s="28"/>
      <c r="E179" s="28" t="e">
        <f t="shared" si="2"/>
        <v>#N/A</v>
      </c>
      <c r="H179" s="28"/>
      <c r="I179" s="28"/>
      <c r="J179" s="28"/>
      <c r="K179" s="28"/>
      <c r="L179" s="28"/>
      <c r="M179" s="28"/>
    </row>
    <row r="180" spans="3:13" x14ac:dyDescent="0.25">
      <c r="C180" s="28" t="e">
        <f>VLOOKUP(B180,Library!G168:H363,2)</f>
        <v>#N/A</v>
      </c>
      <c r="D180" s="28"/>
      <c r="E180" s="28" t="e">
        <f t="shared" si="2"/>
        <v>#N/A</v>
      </c>
      <c r="H180" s="28"/>
      <c r="I180" s="28"/>
      <c r="J180" s="28"/>
      <c r="K180" s="28"/>
      <c r="L180" s="28"/>
      <c r="M180" s="28"/>
    </row>
    <row r="181" spans="3:13" x14ac:dyDescent="0.25">
      <c r="C181" s="28" t="e">
        <f>VLOOKUP(B181,Library!G169:H364,2)</f>
        <v>#N/A</v>
      </c>
      <c r="D181" s="28"/>
      <c r="E181" s="28" t="e">
        <f t="shared" si="2"/>
        <v>#N/A</v>
      </c>
      <c r="H181" s="28"/>
      <c r="I181" s="28"/>
      <c r="J181" s="28"/>
      <c r="K181" s="28"/>
      <c r="L181" s="28"/>
      <c r="M181" s="28"/>
    </row>
    <row r="182" spans="3:13" x14ac:dyDescent="0.25">
      <c r="C182" s="28" t="e">
        <f>VLOOKUP(B182,Library!G170:H365,2)</f>
        <v>#N/A</v>
      </c>
      <c r="D182" s="28"/>
      <c r="E182" s="28" t="e">
        <f t="shared" si="2"/>
        <v>#N/A</v>
      </c>
      <c r="H182" s="28"/>
      <c r="I182" s="28"/>
      <c r="J182" s="28"/>
      <c r="K182" s="28"/>
      <c r="L182" s="28"/>
      <c r="M182" s="28"/>
    </row>
    <row r="183" spans="3:13" x14ac:dyDescent="0.25">
      <c r="C183" s="28" t="e">
        <f>VLOOKUP(B183,Library!G171:H366,2)</f>
        <v>#N/A</v>
      </c>
      <c r="D183" s="28"/>
      <c r="E183" s="28" t="e">
        <f t="shared" si="2"/>
        <v>#N/A</v>
      </c>
      <c r="H183" s="28"/>
      <c r="I183" s="28"/>
      <c r="J183" s="28"/>
      <c r="K183" s="28"/>
      <c r="L183" s="28"/>
      <c r="M183" s="28"/>
    </row>
    <row r="184" spans="3:13" x14ac:dyDescent="0.25">
      <c r="C184" s="28" t="e">
        <f>VLOOKUP(B184,Library!G172:H367,2)</f>
        <v>#N/A</v>
      </c>
      <c r="D184" s="28"/>
      <c r="E184" s="28" t="e">
        <f t="shared" si="2"/>
        <v>#N/A</v>
      </c>
      <c r="H184" s="28"/>
      <c r="I184" s="28"/>
      <c r="J184" s="28"/>
      <c r="K184" s="28"/>
      <c r="L184" s="28"/>
      <c r="M184" s="28"/>
    </row>
    <row r="185" spans="3:13" x14ac:dyDescent="0.25">
      <c r="C185" s="28" t="e">
        <f>VLOOKUP(B185,Library!G173:H368,2)</f>
        <v>#N/A</v>
      </c>
      <c r="D185" s="28"/>
      <c r="E185" s="28" t="e">
        <f t="shared" si="2"/>
        <v>#N/A</v>
      </c>
      <c r="H185" s="28"/>
      <c r="I185" s="28"/>
      <c r="J185" s="28"/>
      <c r="K185" s="28"/>
      <c r="L185" s="28"/>
      <c r="M185" s="28"/>
    </row>
    <row r="186" spans="3:13" x14ac:dyDescent="0.25">
      <c r="C186" s="28" t="e">
        <f>VLOOKUP(B186,Library!G174:H369,2)</f>
        <v>#N/A</v>
      </c>
      <c r="D186" s="28"/>
      <c r="E186" s="28" t="e">
        <f t="shared" si="2"/>
        <v>#N/A</v>
      </c>
      <c r="H186" s="28"/>
      <c r="I186" s="28"/>
      <c r="J186" s="28"/>
      <c r="K186" s="28"/>
      <c r="L186" s="28"/>
      <c r="M186" s="28"/>
    </row>
    <row r="187" spans="3:13" x14ac:dyDescent="0.25">
      <c r="C187" s="28" t="e">
        <f>VLOOKUP(B187,Library!G175:H370,2)</f>
        <v>#N/A</v>
      </c>
      <c r="D187" s="28"/>
      <c r="E187" s="28" t="e">
        <f t="shared" si="2"/>
        <v>#N/A</v>
      </c>
      <c r="H187" s="28"/>
      <c r="I187" s="28"/>
      <c r="J187" s="28"/>
      <c r="K187" s="28"/>
      <c r="L187" s="28"/>
      <c r="M187" s="28"/>
    </row>
    <row r="188" spans="3:13" x14ac:dyDescent="0.25">
      <c r="C188" s="28" t="e">
        <f>VLOOKUP(B188,Library!G176:H371,2)</f>
        <v>#N/A</v>
      </c>
      <c r="D188" s="28"/>
      <c r="E188" s="28" t="e">
        <f t="shared" si="2"/>
        <v>#N/A</v>
      </c>
      <c r="H188" s="28"/>
      <c r="I188" s="28"/>
      <c r="J188" s="28"/>
      <c r="K188" s="28"/>
      <c r="L188" s="28"/>
      <c r="M188" s="28"/>
    </row>
    <row r="189" spans="3:13" x14ac:dyDescent="0.25">
      <c r="C189" s="28" t="e">
        <f>VLOOKUP(B189,Library!G177:H372,2)</f>
        <v>#N/A</v>
      </c>
      <c r="D189" s="28"/>
      <c r="E189" s="28" t="e">
        <f t="shared" si="2"/>
        <v>#N/A</v>
      </c>
      <c r="H189" s="28"/>
      <c r="I189" s="28"/>
      <c r="J189" s="28"/>
      <c r="K189" s="28"/>
      <c r="L189" s="28"/>
      <c r="M189" s="28"/>
    </row>
    <row r="190" spans="3:13" x14ac:dyDescent="0.25">
      <c r="C190" s="28" t="e">
        <f>VLOOKUP(B190,Library!G178:H373,2)</f>
        <v>#N/A</v>
      </c>
      <c r="D190" s="28"/>
      <c r="E190" s="28" t="e">
        <f t="shared" si="2"/>
        <v>#N/A</v>
      </c>
      <c r="H190" s="28"/>
      <c r="I190" s="28"/>
      <c r="J190" s="28"/>
      <c r="K190" s="28"/>
      <c r="L190" s="28"/>
      <c r="M190" s="28"/>
    </row>
    <row r="191" spans="3:13" x14ac:dyDescent="0.25">
      <c r="C191" s="28" t="e">
        <f>VLOOKUP(B191,Library!G179:H374,2)</f>
        <v>#N/A</v>
      </c>
      <c r="D191" s="28"/>
      <c r="E191" s="28" t="e">
        <f t="shared" si="2"/>
        <v>#N/A</v>
      </c>
      <c r="H191" s="28"/>
      <c r="I191" s="28"/>
      <c r="J191" s="28"/>
      <c r="K191" s="28"/>
      <c r="L191" s="28"/>
      <c r="M191" s="28"/>
    </row>
    <row r="192" spans="3:13" x14ac:dyDescent="0.25">
      <c r="C192" s="28" t="e">
        <f>VLOOKUP(B192,Library!G180:H375,2)</f>
        <v>#N/A</v>
      </c>
      <c r="D192" s="28"/>
      <c r="E192" s="28" t="e">
        <f t="shared" si="2"/>
        <v>#N/A</v>
      </c>
      <c r="H192" s="28"/>
      <c r="I192" s="28"/>
      <c r="J192" s="28"/>
      <c r="K192" s="28"/>
      <c r="L192" s="28"/>
      <c r="M192" s="28"/>
    </row>
    <row r="193" spans="3:5" x14ac:dyDescent="0.25">
      <c r="C193" s="28" t="e">
        <f>VLOOKUP(B193,Library!G181:H376,2)</f>
        <v>#N/A</v>
      </c>
      <c r="D193" s="28"/>
      <c r="E193" s="28" t="e">
        <f t="shared" si="2"/>
        <v>#N/A</v>
      </c>
    </row>
    <row r="194" spans="3:5" x14ac:dyDescent="0.25">
      <c r="C194" s="28" t="e">
        <f>VLOOKUP(B194,Library!G182:H377,2)</f>
        <v>#N/A</v>
      </c>
      <c r="D194" s="28"/>
      <c r="E194" s="28" t="e">
        <f t="shared" si="2"/>
        <v>#N/A</v>
      </c>
    </row>
    <row r="195" spans="3:5" x14ac:dyDescent="0.25">
      <c r="C195" s="28" t="e">
        <f>VLOOKUP(B195,Library!G183:H378,2)</f>
        <v>#N/A</v>
      </c>
      <c r="D195" s="28"/>
      <c r="E195" s="28" t="e">
        <f t="shared" si="2"/>
        <v>#N/A</v>
      </c>
    </row>
    <row r="196" spans="3:5" x14ac:dyDescent="0.25">
      <c r="C196" s="28" t="e">
        <f>VLOOKUP(B196,Library!G184:H379,2)</f>
        <v>#N/A</v>
      </c>
      <c r="D196" s="28"/>
      <c r="E196" s="28" t="e">
        <f t="shared" si="2"/>
        <v>#N/A</v>
      </c>
    </row>
  </sheetData>
  <mergeCells count="2">
    <mergeCell ref="A13:B13"/>
    <mergeCell ref="J3:K3"/>
  </mergeCells>
  <phoneticPr fontId="3" type="noConversion"/>
  <conditionalFormatting sqref="F16">
    <cfRule type="cellIs" dxfId="1" priority="3" operator="equal">
      <formula>"NUMBER OF WIRES GREATER THAN B6"</formula>
    </cfRule>
    <cfRule type="cellIs" dxfId="0" priority="4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AAD18367-9F36-4659-A45C-4E9588539C67}">
          <x14:formula1>
            <xm:f>Library!$G$2:$G$46</xm:f>
          </x14:formula1>
          <xm:sqref>B173:B186</xm:sqref>
        </x14:dataValidation>
        <x14:dataValidation type="list" allowBlank="1" showInputMessage="1" showErrorMessage="1" xr:uid="{B725CC7C-71CD-43F3-B8ED-DCF9DFD57135}">
          <x14:formula1>
            <xm:f>Library!$A$2:$A$101</xm:f>
          </x14:formula1>
          <xm:sqref>B3:B7</xm:sqref>
        </x14:dataValidation>
        <x14:dataValidation type="list" allowBlank="1" showInputMessage="1" showErrorMessage="1" xr:uid="{729B3038-4766-42D2-B8AF-81C630192CDF}">
          <x14:formula1>
            <xm:f>Library!$G$2:$G$197</xm:f>
          </x14:formula1>
          <xm:sqref>B14:B172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526F-193E-477D-BF97-A82B5805CAE9}">
  <dimension ref="A1:K197"/>
  <sheetViews>
    <sheetView topLeftCell="D1" workbookViewId="0">
      <selection activeCell="I202" sqref="I202"/>
    </sheetView>
  </sheetViews>
  <sheetFormatPr defaultRowHeight="15" x14ac:dyDescent="0.25"/>
  <cols>
    <col min="1" max="1" width="36" bestFit="1" customWidth="1"/>
    <col min="2" max="2" width="9.28515625" customWidth="1"/>
    <col min="3" max="3" width="23.7109375" bestFit="1" customWidth="1"/>
    <col min="4" max="4" width="109" bestFit="1" customWidth="1"/>
    <col min="7" max="7" width="57.42578125" bestFit="1" customWidth="1"/>
    <col min="8" max="8" width="22" customWidth="1"/>
    <col min="9" max="9" width="14.5703125" customWidth="1"/>
    <col min="10" max="10" width="22.140625" bestFit="1" customWidth="1"/>
    <col min="11" max="11" width="82.7109375" bestFit="1" customWidth="1"/>
  </cols>
  <sheetData>
    <row r="1" spans="1:11" ht="15.75" thickBot="1" x14ac:dyDescent="0.3">
      <c r="A1" s="13" t="s">
        <v>6</v>
      </c>
      <c r="B1" s="14" t="s">
        <v>206</v>
      </c>
      <c r="C1" s="13" t="s">
        <v>209</v>
      </c>
      <c r="D1" s="13" t="s">
        <v>219</v>
      </c>
      <c r="G1" s="14" t="s">
        <v>7</v>
      </c>
      <c r="H1" s="32" t="s">
        <v>3</v>
      </c>
      <c r="I1" s="13" t="s">
        <v>206</v>
      </c>
      <c r="J1" s="13" t="s">
        <v>209</v>
      </c>
      <c r="K1" s="15" t="s">
        <v>219</v>
      </c>
    </row>
    <row r="2" spans="1:11" x14ac:dyDescent="0.25">
      <c r="A2" s="27" t="s">
        <v>325</v>
      </c>
      <c r="B2" s="24">
        <v>1</v>
      </c>
      <c r="C2" s="22" t="s">
        <v>424</v>
      </c>
      <c r="D2" s="17" t="s">
        <v>429</v>
      </c>
      <c r="G2" s="16" t="s">
        <v>15</v>
      </c>
      <c r="H2" s="33">
        <v>1</v>
      </c>
      <c r="I2" s="29" t="s">
        <v>207</v>
      </c>
      <c r="J2" s="22" t="s">
        <v>210</v>
      </c>
      <c r="K2" s="17" t="s">
        <v>220</v>
      </c>
    </row>
    <row r="3" spans="1:11" x14ac:dyDescent="0.25">
      <c r="A3" s="20" t="s">
        <v>326</v>
      </c>
      <c r="B3" s="25">
        <v>1</v>
      </c>
      <c r="C3" s="23" t="s">
        <v>424</v>
      </c>
      <c r="D3" s="19" t="s">
        <v>429</v>
      </c>
      <c r="G3" s="18" t="s">
        <v>16</v>
      </c>
      <c r="H3" s="34">
        <v>1</v>
      </c>
      <c r="I3" s="30" t="s">
        <v>207</v>
      </c>
      <c r="J3" s="23" t="s">
        <v>210</v>
      </c>
      <c r="K3" s="19" t="s">
        <v>220</v>
      </c>
    </row>
    <row r="4" spans="1:11" x14ac:dyDescent="0.25">
      <c r="A4" s="20" t="s">
        <v>327</v>
      </c>
      <c r="B4" s="25">
        <v>1</v>
      </c>
      <c r="C4" s="23" t="s">
        <v>425</v>
      </c>
      <c r="D4" s="19" t="s">
        <v>430</v>
      </c>
      <c r="G4" s="18" t="s">
        <v>17</v>
      </c>
      <c r="H4" s="34">
        <v>1</v>
      </c>
      <c r="I4" s="30" t="s">
        <v>207</v>
      </c>
      <c r="J4" s="23" t="s">
        <v>210</v>
      </c>
      <c r="K4" s="19" t="s">
        <v>220</v>
      </c>
    </row>
    <row r="5" spans="1:11" x14ac:dyDescent="0.25">
      <c r="A5" s="20" t="s">
        <v>328</v>
      </c>
      <c r="B5" s="25">
        <v>1</v>
      </c>
      <c r="C5" s="23" t="s">
        <v>425</v>
      </c>
      <c r="D5" s="19" t="s">
        <v>431</v>
      </c>
      <c r="G5" s="18" t="s">
        <v>18</v>
      </c>
      <c r="H5" s="34">
        <v>1</v>
      </c>
      <c r="I5" s="30" t="s">
        <v>207</v>
      </c>
      <c r="J5" s="23" t="s">
        <v>210</v>
      </c>
      <c r="K5" s="19" t="s">
        <v>220</v>
      </c>
    </row>
    <row r="6" spans="1:11" x14ac:dyDescent="0.25">
      <c r="A6" s="20" t="s">
        <v>329</v>
      </c>
      <c r="B6" s="25">
        <v>1</v>
      </c>
      <c r="C6" s="23" t="s">
        <v>425</v>
      </c>
      <c r="D6" s="19" t="s">
        <v>432</v>
      </c>
      <c r="G6" s="18">
        <v>1224</v>
      </c>
      <c r="H6" s="34">
        <v>1</v>
      </c>
      <c r="I6" s="30">
        <v>1</v>
      </c>
      <c r="J6" s="23" t="s">
        <v>211</v>
      </c>
      <c r="K6" s="19" t="s">
        <v>221</v>
      </c>
    </row>
    <row r="7" spans="1:11" x14ac:dyDescent="0.25">
      <c r="A7" s="20" t="s">
        <v>330</v>
      </c>
      <c r="B7" s="25">
        <v>1</v>
      </c>
      <c r="C7" s="23" t="s">
        <v>425</v>
      </c>
      <c r="D7" s="19" t="s">
        <v>433</v>
      </c>
      <c r="G7" s="18" t="s">
        <v>19</v>
      </c>
      <c r="H7" s="34">
        <v>1</v>
      </c>
      <c r="I7" s="30">
        <v>1</v>
      </c>
      <c r="J7" s="23" t="s">
        <v>212</v>
      </c>
      <c r="K7" s="19" t="s">
        <v>222</v>
      </c>
    </row>
    <row r="8" spans="1:11" x14ac:dyDescent="0.25">
      <c r="A8" s="20" t="s">
        <v>331</v>
      </c>
      <c r="B8" s="25">
        <v>1</v>
      </c>
      <c r="C8" s="23" t="s">
        <v>425</v>
      </c>
      <c r="D8" s="19" t="s">
        <v>434</v>
      </c>
      <c r="G8" s="18" t="s">
        <v>20</v>
      </c>
      <c r="H8" s="34">
        <v>1</v>
      </c>
      <c r="I8" s="30" t="s">
        <v>207</v>
      </c>
      <c r="J8" s="23" t="s">
        <v>212</v>
      </c>
      <c r="K8" s="19" t="s">
        <v>223</v>
      </c>
    </row>
    <row r="9" spans="1:11" x14ac:dyDescent="0.25">
      <c r="A9" s="20" t="s">
        <v>332</v>
      </c>
      <c r="B9" s="25">
        <v>1</v>
      </c>
      <c r="C9" s="23" t="s">
        <v>425</v>
      </c>
      <c r="D9" s="19" t="s">
        <v>433</v>
      </c>
      <c r="G9" s="18" t="s">
        <v>21</v>
      </c>
      <c r="H9" s="34">
        <v>1</v>
      </c>
      <c r="I9" s="30" t="s">
        <v>207</v>
      </c>
      <c r="J9" s="23" t="s">
        <v>212</v>
      </c>
      <c r="K9" s="19" t="s">
        <v>224</v>
      </c>
    </row>
    <row r="10" spans="1:11" x14ac:dyDescent="0.25">
      <c r="A10" s="20" t="s">
        <v>333</v>
      </c>
      <c r="B10" s="25">
        <v>1</v>
      </c>
      <c r="C10" s="23" t="s">
        <v>425</v>
      </c>
      <c r="D10" s="19" t="s">
        <v>435</v>
      </c>
      <c r="G10" s="18" t="s">
        <v>22</v>
      </c>
      <c r="H10" s="34">
        <v>1</v>
      </c>
      <c r="I10" s="30" t="s">
        <v>207</v>
      </c>
      <c r="J10" s="23" t="s">
        <v>212</v>
      </c>
      <c r="K10" s="19" t="s">
        <v>225</v>
      </c>
    </row>
    <row r="11" spans="1:11" x14ac:dyDescent="0.25">
      <c r="A11" s="20" t="s">
        <v>334</v>
      </c>
      <c r="B11" s="25">
        <v>1</v>
      </c>
      <c r="C11" s="23" t="s">
        <v>425</v>
      </c>
      <c r="D11" s="19" t="s">
        <v>436</v>
      </c>
      <c r="G11" s="18" t="s">
        <v>23</v>
      </c>
      <c r="H11" s="34">
        <v>1</v>
      </c>
      <c r="I11" s="30" t="s">
        <v>207</v>
      </c>
      <c r="J11" s="23" t="s">
        <v>212</v>
      </c>
      <c r="K11" s="19" t="s">
        <v>226</v>
      </c>
    </row>
    <row r="12" spans="1:11" x14ac:dyDescent="0.25">
      <c r="A12" s="20" t="s">
        <v>335</v>
      </c>
      <c r="B12" s="25">
        <v>1</v>
      </c>
      <c r="C12" s="23" t="s">
        <v>425</v>
      </c>
      <c r="D12" s="19" t="s">
        <v>437</v>
      </c>
      <c r="G12" s="18" t="s">
        <v>24</v>
      </c>
      <c r="H12" s="34">
        <v>1</v>
      </c>
      <c r="I12" s="30" t="s">
        <v>207</v>
      </c>
      <c r="J12" s="23" t="s">
        <v>212</v>
      </c>
      <c r="K12" s="19" t="s">
        <v>227</v>
      </c>
    </row>
    <row r="13" spans="1:11" x14ac:dyDescent="0.25">
      <c r="A13" s="20" t="s">
        <v>336</v>
      </c>
      <c r="B13" s="25">
        <v>1</v>
      </c>
      <c r="C13" s="23" t="s">
        <v>425</v>
      </c>
      <c r="D13" s="19" t="s">
        <v>438</v>
      </c>
      <c r="G13" s="18" t="s">
        <v>25</v>
      </c>
      <c r="H13" s="34">
        <v>1</v>
      </c>
      <c r="I13" s="30" t="s">
        <v>207</v>
      </c>
      <c r="J13" s="23" t="s">
        <v>212</v>
      </c>
      <c r="K13" s="19" t="s">
        <v>228</v>
      </c>
    </row>
    <row r="14" spans="1:11" x14ac:dyDescent="0.25">
      <c r="A14" s="20" t="s">
        <v>337</v>
      </c>
      <c r="B14" s="25">
        <v>1</v>
      </c>
      <c r="C14" s="23" t="s">
        <v>426</v>
      </c>
      <c r="D14" s="19" t="s">
        <v>439</v>
      </c>
      <c r="G14" s="18" t="s">
        <v>26</v>
      </c>
      <c r="H14" s="34">
        <v>1</v>
      </c>
      <c r="I14" s="30">
        <v>1</v>
      </c>
      <c r="J14" s="23" t="s">
        <v>212</v>
      </c>
      <c r="K14" s="19" t="s">
        <v>229</v>
      </c>
    </row>
    <row r="15" spans="1:11" x14ac:dyDescent="0.25">
      <c r="A15" s="20" t="s">
        <v>338</v>
      </c>
      <c r="B15" s="25">
        <v>1</v>
      </c>
      <c r="C15" s="23" t="s">
        <v>426</v>
      </c>
      <c r="D15" s="19" t="s">
        <v>440</v>
      </c>
      <c r="G15" s="18" t="s">
        <v>27</v>
      </c>
      <c r="H15" s="34">
        <v>1</v>
      </c>
      <c r="I15" s="30">
        <v>1</v>
      </c>
      <c r="J15" s="23" t="s">
        <v>212</v>
      </c>
      <c r="K15" s="19" t="s">
        <v>229</v>
      </c>
    </row>
    <row r="16" spans="1:11" x14ac:dyDescent="0.25">
      <c r="A16" s="20" t="s">
        <v>339</v>
      </c>
      <c r="B16" s="25">
        <v>1</v>
      </c>
      <c r="C16" s="23" t="s">
        <v>426</v>
      </c>
      <c r="D16" s="19" t="s">
        <v>441</v>
      </c>
      <c r="G16" s="18" t="s">
        <v>28</v>
      </c>
      <c r="H16" s="34">
        <v>1</v>
      </c>
      <c r="I16" s="30">
        <v>1</v>
      </c>
      <c r="J16" s="23" t="s">
        <v>212</v>
      </c>
      <c r="K16" s="19" t="s">
        <v>229</v>
      </c>
    </row>
    <row r="17" spans="1:11" x14ac:dyDescent="0.25">
      <c r="A17" s="20" t="s">
        <v>340</v>
      </c>
      <c r="B17" s="25">
        <v>1</v>
      </c>
      <c r="C17" s="23" t="s">
        <v>426</v>
      </c>
      <c r="D17" s="19" t="s">
        <v>442</v>
      </c>
      <c r="G17" s="18" t="s">
        <v>29</v>
      </c>
      <c r="H17" s="34">
        <v>1</v>
      </c>
      <c r="I17" s="30">
        <v>1</v>
      </c>
      <c r="J17" s="23" t="s">
        <v>212</v>
      </c>
      <c r="K17" s="19" t="s">
        <v>229</v>
      </c>
    </row>
    <row r="18" spans="1:11" x14ac:dyDescent="0.25">
      <c r="A18" s="20" t="s">
        <v>341</v>
      </c>
      <c r="B18" s="25">
        <v>1</v>
      </c>
      <c r="C18" s="23" t="s">
        <v>426</v>
      </c>
      <c r="D18" s="19" t="s">
        <v>443</v>
      </c>
      <c r="G18" s="18">
        <v>45125</v>
      </c>
      <c r="H18" s="34">
        <v>1</v>
      </c>
      <c r="I18" s="30">
        <v>1</v>
      </c>
      <c r="J18" s="23" t="s">
        <v>213</v>
      </c>
      <c r="K18" s="19" t="s">
        <v>230</v>
      </c>
    </row>
    <row r="19" spans="1:11" x14ac:dyDescent="0.25">
      <c r="A19" s="20" t="s">
        <v>342</v>
      </c>
      <c r="B19" s="25">
        <v>1</v>
      </c>
      <c r="C19" s="23" t="s">
        <v>425</v>
      </c>
      <c r="D19" s="19" t="s">
        <v>444</v>
      </c>
      <c r="G19" s="18">
        <v>9618</v>
      </c>
      <c r="H19" s="34">
        <v>1</v>
      </c>
      <c r="I19" s="30">
        <v>1</v>
      </c>
      <c r="J19" s="23" t="s">
        <v>213</v>
      </c>
      <c r="K19" s="19" t="s">
        <v>231</v>
      </c>
    </row>
    <row r="20" spans="1:11" x14ac:dyDescent="0.25">
      <c r="A20" s="20" t="s">
        <v>343</v>
      </c>
      <c r="B20" s="25">
        <v>1</v>
      </c>
      <c r="C20" s="23" t="s">
        <v>425</v>
      </c>
      <c r="D20" s="19" t="s">
        <v>445</v>
      </c>
      <c r="G20" s="18">
        <v>9934</v>
      </c>
      <c r="H20" s="34">
        <v>1</v>
      </c>
      <c r="I20" s="30">
        <v>1</v>
      </c>
      <c r="J20" s="23" t="s">
        <v>213</v>
      </c>
      <c r="K20" s="19" t="s">
        <v>232</v>
      </c>
    </row>
    <row r="21" spans="1:11" x14ac:dyDescent="0.25">
      <c r="A21" s="20" t="s">
        <v>344</v>
      </c>
      <c r="B21" s="25">
        <v>1</v>
      </c>
      <c r="C21" s="23" t="s">
        <v>425</v>
      </c>
      <c r="D21" s="19" t="s">
        <v>446</v>
      </c>
      <c r="G21" s="18" t="s">
        <v>30</v>
      </c>
      <c r="H21" s="34">
        <v>1</v>
      </c>
      <c r="I21" s="30">
        <v>1</v>
      </c>
      <c r="J21" s="23" t="s">
        <v>212</v>
      </c>
      <c r="K21" s="19" t="s">
        <v>233</v>
      </c>
    </row>
    <row r="22" spans="1:11" x14ac:dyDescent="0.25">
      <c r="A22" s="20" t="s">
        <v>345</v>
      </c>
      <c r="B22" s="25">
        <v>1</v>
      </c>
      <c r="C22" s="23" t="s">
        <v>425</v>
      </c>
      <c r="D22" s="19" t="s">
        <v>447</v>
      </c>
      <c r="G22" s="18" t="s">
        <v>31</v>
      </c>
      <c r="H22" s="34">
        <v>1</v>
      </c>
      <c r="I22" s="30">
        <v>1</v>
      </c>
      <c r="J22" s="23" t="s">
        <v>212</v>
      </c>
      <c r="K22" s="19" t="s">
        <v>225</v>
      </c>
    </row>
    <row r="23" spans="1:11" x14ac:dyDescent="0.25">
      <c r="A23" s="20" t="s">
        <v>346</v>
      </c>
      <c r="B23" s="25">
        <v>1</v>
      </c>
      <c r="C23" s="23" t="s">
        <v>425</v>
      </c>
      <c r="D23" s="19" t="s">
        <v>448</v>
      </c>
      <c r="G23" s="18" t="s">
        <v>32</v>
      </c>
      <c r="H23" s="34">
        <v>1</v>
      </c>
      <c r="I23" s="30" t="s">
        <v>207</v>
      </c>
      <c r="J23" s="23" t="s">
        <v>213</v>
      </c>
      <c r="K23" s="19" t="s">
        <v>225</v>
      </c>
    </row>
    <row r="24" spans="1:11" x14ac:dyDescent="0.25">
      <c r="A24" s="20" t="s">
        <v>347</v>
      </c>
      <c r="B24" s="25">
        <v>1</v>
      </c>
      <c r="C24" s="23" t="s">
        <v>425</v>
      </c>
      <c r="D24" s="19" t="s">
        <v>449</v>
      </c>
      <c r="G24" s="18" t="s">
        <v>33</v>
      </c>
      <c r="H24" s="34">
        <v>1</v>
      </c>
      <c r="I24" s="30">
        <v>1</v>
      </c>
      <c r="J24" s="23" t="s">
        <v>214</v>
      </c>
      <c r="K24" s="19" t="s">
        <v>234</v>
      </c>
    </row>
    <row r="25" spans="1:11" x14ac:dyDescent="0.25">
      <c r="A25" s="20" t="s">
        <v>348</v>
      </c>
      <c r="B25" s="25">
        <v>1</v>
      </c>
      <c r="C25" s="23" t="s">
        <v>425</v>
      </c>
      <c r="D25" s="19" t="s">
        <v>450</v>
      </c>
      <c r="G25" s="18" t="s">
        <v>34</v>
      </c>
      <c r="H25" s="34">
        <v>1</v>
      </c>
      <c r="I25" s="30">
        <v>1</v>
      </c>
      <c r="J25" s="23" t="s">
        <v>214</v>
      </c>
      <c r="K25" s="19" t="s">
        <v>235</v>
      </c>
    </row>
    <row r="26" spans="1:11" x14ac:dyDescent="0.25">
      <c r="A26" s="20" t="s">
        <v>349</v>
      </c>
      <c r="B26" s="25">
        <v>1</v>
      </c>
      <c r="C26" s="23" t="s">
        <v>425</v>
      </c>
      <c r="D26" s="19" t="s">
        <v>451</v>
      </c>
      <c r="G26" s="18" t="s">
        <v>35</v>
      </c>
      <c r="H26" s="34">
        <v>1</v>
      </c>
      <c r="I26" s="30">
        <v>1</v>
      </c>
      <c r="J26" s="23" t="s">
        <v>215</v>
      </c>
      <c r="K26" s="19" t="s">
        <v>236</v>
      </c>
    </row>
    <row r="27" spans="1:11" x14ac:dyDescent="0.25">
      <c r="A27" s="20" t="s">
        <v>350</v>
      </c>
      <c r="B27" s="25">
        <v>1</v>
      </c>
      <c r="C27" s="23" t="s">
        <v>425</v>
      </c>
      <c r="D27" s="19" t="s">
        <v>452</v>
      </c>
      <c r="G27" s="18" t="s">
        <v>36</v>
      </c>
      <c r="H27" s="34">
        <v>1</v>
      </c>
      <c r="I27" s="30">
        <v>1</v>
      </c>
      <c r="J27" s="23" t="s">
        <v>216</v>
      </c>
      <c r="K27" s="19" t="s">
        <v>237</v>
      </c>
    </row>
    <row r="28" spans="1:11" x14ac:dyDescent="0.25">
      <c r="A28" s="20" t="s">
        <v>351</v>
      </c>
      <c r="B28" s="25">
        <v>1</v>
      </c>
      <c r="C28" s="23" t="s">
        <v>425</v>
      </c>
      <c r="D28" s="19" t="s">
        <v>453</v>
      </c>
      <c r="G28" s="18" t="s">
        <v>37</v>
      </c>
      <c r="H28" s="34">
        <v>1</v>
      </c>
      <c r="I28" s="30">
        <v>1</v>
      </c>
      <c r="J28" s="23" t="s">
        <v>216</v>
      </c>
      <c r="K28" s="19" t="s">
        <v>238</v>
      </c>
    </row>
    <row r="29" spans="1:11" x14ac:dyDescent="0.25">
      <c r="A29" s="20" t="s">
        <v>352</v>
      </c>
      <c r="B29" s="25">
        <v>1</v>
      </c>
      <c r="C29" s="23" t="s">
        <v>425</v>
      </c>
      <c r="D29" s="19" t="s">
        <v>454</v>
      </c>
      <c r="G29" s="18" t="s">
        <v>38</v>
      </c>
      <c r="H29" s="34">
        <v>1</v>
      </c>
      <c r="I29" s="30" t="s">
        <v>208</v>
      </c>
      <c r="J29" s="23" t="s">
        <v>216</v>
      </c>
      <c r="K29" s="19" t="s">
        <v>238</v>
      </c>
    </row>
    <row r="30" spans="1:11" x14ac:dyDescent="0.25">
      <c r="A30" s="20" t="s">
        <v>353</v>
      </c>
      <c r="B30" s="25">
        <v>1</v>
      </c>
      <c r="C30" s="23" t="s">
        <v>425</v>
      </c>
      <c r="D30" s="19" t="s">
        <v>455</v>
      </c>
      <c r="G30" s="18" t="s">
        <v>39</v>
      </c>
      <c r="H30" s="34">
        <v>1</v>
      </c>
      <c r="I30" s="30" t="s">
        <v>208</v>
      </c>
      <c r="J30" s="23" t="s">
        <v>216</v>
      </c>
      <c r="K30" s="19" t="s">
        <v>239</v>
      </c>
    </row>
    <row r="31" spans="1:11" x14ac:dyDescent="0.25">
      <c r="A31" s="20" t="s">
        <v>354</v>
      </c>
      <c r="B31" s="25" t="s">
        <v>207</v>
      </c>
      <c r="C31" s="23" t="s">
        <v>425</v>
      </c>
      <c r="D31" s="19" t="s">
        <v>456</v>
      </c>
      <c r="G31" s="18" t="s">
        <v>40</v>
      </c>
      <c r="H31" s="34">
        <v>1</v>
      </c>
      <c r="I31" s="30" t="s">
        <v>208</v>
      </c>
      <c r="J31" s="23" t="s">
        <v>216</v>
      </c>
      <c r="K31" s="19" t="s">
        <v>239</v>
      </c>
    </row>
    <row r="32" spans="1:11" x14ac:dyDescent="0.25">
      <c r="A32" s="20" t="s">
        <v>355</v>
      </c>
      <c r="B32" s="25" t="s">
        <v>207</v>
      </c>
      <c r="C32" s="23" t="s">
        <v>425</v>
      </c>
      <c r="D32" s="19" t="s">
        <v>457</v>
      </c>
      <c r="G32" s="18" t="s">
        <v>41</v>
      </c>
      <c r="H32" s="34">
        <v>1</v>
      </c>
      <c r="I32" s="30" t="s">
        <v>208</v>
      </c>
      <c r="J32" s="23" t="s">
        <v>216</v>
      </c>
      <c r="K32" s="19" t="s">
        <v>239</v>
      </c>
    </row>
    <row r="33" spans="1:11" x14ac:dyDescent="0.25">
      <c r="A33" s="20" t="s">
        <v>356</v>
      </c>
      <c r="B33" s="25">
        <v>1</v>
      </c>
      <c r="C33" s="23" t="s">
        <v>426</v>
      </c>
      <c r="D33" s="19" t="s">
        <v>458</v>
      </c>
      <c r="G33" s="18" t="s">
        <v>42</v>
      </c>
      <c r="H33" s="34">
        <v>1</v>
      </c>
      <c r="I33" s="30" t="s">
        <v>208</v>
      </c>
      <c r="J33" s="23" t="s">
        <v>216</v>
      </c>
      <c r="K33" s="19" t="s">
        <v>239</v>
      </c>
    </row>
    <row r="34" spans="1:11" x14ac:dyDescent="0.25">
      <c r="A34" s="20" t="s">
        <v>357</v>
      </c>
      <c r="B34" s="25">
        <v>1</v>
      </c>
      <c r="C34" s="23" t="s">
        <v>426</v>
      </c>
      <c r="D34" s="19" t="s">
        <v>459</v>
      </c>
      <c r="G34" s="18" t="s">
        <v>43</v>
      </c>
      <c r="H34" s="34">
        <v>1</v>
      </c>
      <c r="I34" s="30" t="s">
        <v>208</v>
      </c>
      <c r="J34" s="23" t="s">
        <v>216</v>
      </c>
      <c r="K34" s="19" t="s">
        <v>239</v>
      </c>
    </row>
    <row r="35" spans="1:11" x14ac:dyDescent="0.25">
      <c r="A35" s="20" t="s">
        <v>358</v>
      </c>
      <c r="B35" s="25">
        <v>1</v>
      </c>
      <c r="C35" s="23" t="s">
        <v>426</v>
      </c>
      <c r="D35" s="19" t="s">
        <v>460</v>
      </c>
      <c r="G35" s="18" t="s">
        <v>44</v>
      </c>
      <c r="H35" s="34">
        <v>1</v>
      </c>
      <c r="I35" s="30" t="s">
        <v>208</v>
      </c>
      <c r="J35" s="23" t="s">
        <v>216</v>
      </c>
      <c r="K35" s="19" t="s">
        <v>240</v>
      </c>
    </row>
    <row r="36" spans="1:11" x14ac:dyDescent="0.25">
      <c r="A36" s="20" t="s">
        <v>359</v>
      </c>
      <c r="B36" s="25">
        <v>1</v>
      </c>
      <c r="C36" s="23" t="s">
        <v>426</v>
      </c>
      <c r="D36" s="19" t="s">
        <v>461</v>
      </c>
      <c r="G36" s="18" t="s">
        <v>45</v>
      </c>
      <c r="H36" s="34">
        <v>1</v>
      </c>
      <c r="I36" s="30" t="s">
        <v>208</v>
      </c>
      <c r="J36" s="23" t="s">
        <v>216</v>
      </c>
      <c r="K36" s="19" t="s">
        <v>240</v>
      </c>
    </row>
    <row r="37" spans="1:11" x14ac:dyDescent="0.25">
      <c r="A37" s="20" t="s">
        <v>360</v>
      </c>
      <c r="B37" s="25">
        <v>1</v>
      </c>
      <c r="C37" s="23" t="s">
        <v>426</v>
      </c>
      <c r="D37" s="19" t="s">
        <v>462</v>
      </c>
      <c r="G37" s="18" t="s">
        <v>46</v>
      </c>
      <c r="H37" s="34">
        <v>1</v>
      </c>
      <c r="I37" s="30" t="s">
        <v>208</v>
      </c>
      <c r="J37" s="23" t="s">
        <v>216</v>
      </c>
      <c r="K37" s="19" t="s">
        <v>240</v>
      </c>
    </row>
    <row r="38" spans="1:11" x14ac:dyDescent="0.25">
      <c r="A38" s="20" t="s">
        <v>13</v>
      </c>
      <c r="B38" s="25">
        <v>1</v>
      </c>
      <c r="C38" s="23" t="s">
        <v>425</v>
      </c>
      <c r="D38" s="19" t="s">
        <v>463</v>
      </c>
      <c r="G38" s="18" t="s">
        <v>47</v>
      </c>
      <c r="H38" s="34">
        <v>1</v>
      </c>
      <c r="I38" s="30" t="s">
        <v>208</v>
      </c>
      <c r="J38" s="23" t="s">
        <v>216</v>
      </c>
      <c r="K38" s="19" t="s">
        <v>240</v>
      </c>
    </row>
    <row r="39" spans="1:11" x14ac:dyDescent="0.25">
      <c r="A39" s="20" t="s">
        <v>361</v>
      </c>
      <c r="B39" s="25">
        <v>1</v>
      </c>
      <c r="C39" s="23" t="s">
        <v>425</v>
      </c>
      <c r="D39" s="19" t="s">
        <v>464</v>
      </c>
      <c r="G39" s="18" t="s">
        <v>48</v>
      </c>
      <c r="H39" s="34">
        <v>1</v>
      </c>
      <c r="I39" s="30" t="s">
        <v>208</v>
      </c>
      <c r="J39" s="23" t="s">
        <v>216</v>
      </c>
      <c r="K39" s="19" t="s">
        <v>241</v>
      </c>
    </row>
    <row r="40" spans="1:11" x14ac:dyDescent="0.25">
      <c r="A40" s="20" t="s">
        <v>362</v>
      </c>
      <c r="B40" s="25">
        <v>1</v>
      </c>
      <c r="C40" s="23" t="s">
        <v>425</v>
      </c>
      <c r="D40" s="19" t="s">
        <v>465</v>
      </c>
      <c r="G40" s="18" t="s">
        <v>49</v>
      </c>
      <c r="H40" s="34">
        <v>1</v>
      </c>
      <c r="I40" s="30" t="s">
        <v>208</v>
      </c>
      <c r="J40" s="23" t="s">
        <v>216</v>
      </c>
      <c r="K40" s="19" t="s">
        <v>242</v>
      </c>
    </row>
    <row r="41" spans="1:11" x14ac:dyDescent="0.25">
      <c r="A41" s="20" t="s">
        <v>363</v>
      </c>
      <c r="B41" s="25">
        <v>1</v>
      </c>
      <c r="C41" s="23" t="s">
        <v>425</v>
      </c>
      <c r="D41" s="19" t="s">
        <v>466</v>
      </c>
      <c r="G41" s="18" t="s">
        <v>50</v>
      </c>
      <c r="H41" s="34">
        <v>1</v>
      </c>
      <c r="I41" s="30" t="s">
        <v>208</v>
      </c>
      <c r="J41" s="23" t="s">
        <v>216</v>
      </c>
      <c r="K41" s="19" t="s">
        <v>242</v>
      </c>
    </row>
    <row r="42" spans="1:11" x14ac:dyDescent="0.25">
      <c r="A42" s="20" t="s">
        <v>364</v>
      </c>
      <c r="B42" s="25">
        <v>1</v>
      </c>
      <c r="C42" s="23" t="s">
        <v>425</v>
      </c>
      <c r="D42" s="19" t="s">
        <v>467</v>
      </c>
      <c r="G42" s="18" t="s">
        <v>51</v>
      </c>
      <c r="H42" s="34">
        <v>1</v>
      </c>
      <c r="I42" s="30" t="s">
        <v>208</v>
      </c>
      <c r="J42" s="23" t="s">
        <v>216</v>
      </c>
      <c r="K42" s="19" t="s">
        <v>242</v>
      </c>
    </row>
    <row r="43" spans="1:11" x14ac:dyDescent="0.25">
      <c r="A43" s="20" t="s">
        <v>365</v>
      </c>
      <c r="B43" s="25">
        <v>1</v>
      </c>
      <c r="C43" s="23" t="s">
        <v>425</v>
      </c>
      <c r="D43" s="19" t="s">
        <v>468</v>
      </c>
      <c r="G43" s="18" t="s">
        <v>52</v>
      </c>
      <c r="H43" s="34">
        <v>1</v>
      </c>
      <c r="I43" s="30" t="s">
        <v>208</v>
      </c>
      <c r="J43" s="23" t="s">
        <v>216</v>
      </c>
      <c r="K43" s="19" t="s">
        <v>242</v>
      </c>
    </row>
    <row r="44" spans="1:11" x14ac:dyDescent="0.25">
      <c r="A44" s="20" t="s">
        <v>366</v>
      </c>
      <c r="B44" s="25">
        <v>1</v>
      </c>
      <c r="C44" s="23" t="s">
        <v>425</v>
      </c>
      <c r="D44" s="19" t="s">
        <v>469</v>
      </c>
      <c r="G44" s="18" t="s">
        <v>53</v>
      </c>
      <c r="H44" s="34">
        <v>1</v>
      </c>
      <c r="I44" s="30" t="s">
        <v>208</v>
      </c>
      <c r="J44" s="23" t="s">
        <v>216</v>
      </c>
      <c r="K44" s="19" t="s">
        <v>242</v>
      </c>
    </row>
    <row r="45" spans="1:11" x14ac:dyDescent="0.25">
      <c r="A45" s="20" t="s">
        <v>367</v>
      </c>
      <c r="B45" s="25">
        <v>1</v>
      </c>
      <c r="C45" s="23" t="s">
        <v>425</v>
      </c>
      <c r="D45" s="19" t="s">
        <v>470</v>
      </c>
      <c r="G45" s="18" t="s">
        <v>54</v>
      </c>
      <c r="H45" s="34">
        <v>1</v>
      </c>
      <c r="I45" s="30" t="s">
        <v>208</v>
      </c>
      <c r="J45" s="23" t="s">
        <v>216</v>
      </c>
      <c r="K45" s="19" t="s">
        <v>242</v>
      </c>
    </row>
    <row r="46" spans="1:11" x14ac:dyDescent="0.25">
      <c r="A46" s="20" t="s">
        <v>368</v>
      </c>
      <c r="B46" s="25">
        <v>1</v>
      </c>
      <c r="C46" s="23" t="s">
        <v>425</v>
      </c>
      <c r="D46" s="19" t="s">
        <v>471</v>
      </c>
      <c r="G46" s="18" t="s">
        <v>55</v>
      </c>
      <c r="H46" s="34">
        <v>1</v>
      </c>
      <c r="I46" s="30" t="s">
        <v>208</v>
      </c>
      <c r="J46" s="23" t="s">
        <v>216</v>
      </c>
      <c r="K46" s="19" t="s">
        <v>242</v>
      </c>
    </row>
    <row r="47" spans="1:11" x14ac:dyDescent="0.25">
      <c r="A47" s="20" t="s">
        <v>369</v>
      </c>
      <c r="B47" s="25">
        <v>1</v>
      </c>
      <c r="C47" s="23" t="s">
        <v>425</v>
      </c>
      <c r="D47" s="19" t="s">
        <v>463</v>
      </c>
      <c r="G47" s="18" t="s">
        <v>56</v>
      </c>
      <c r="H47" s="34">
        <v>1</v>
      </c>
      <c r="I47" s="30" t="s">
        <v>208</v>
      </c>
      <c r="J47" s="23" t="s">
        <v>216</v>
      </c>
      <c r="K47" s="19" t="s">
        <v>242</v>
      </c>
    </row>
    <row r="48" spans="1:11" x14ac:dyDescent="0.25">
      <c r="A48" s="20" t="s">
        <v>370</v>
      </c>
      <c r="B48" s="25">
        <v>1</v>
      </c>
      <c r="C48" s="23" t="s">
        <v>425</v>
      </c>
      <c r="D48" s="19" t="s">
        <v>472</v>
      </c>
      <c r="G48" s="18" t="s">
        <v>57</v>
      </c>
      <c r="H48" s="34">
        <v>1</v>
      </c>
      <c r="I48" s="30" t="s">
        <v>208</v>
      </c>
      <c r="J48" s="23" t="s">
        <v>216</v>
      </c>
      <c r="K48" s="19" t="s">
        <v>242</v>
      </c>
    </row>
    <row r="49" spans="1:11" x14ac:dyDescent="0.25">
      <c r="A49" s="20" t="s">
        <v>371</v>
      </c>
      <c r="B49" s="25">
        <v>1</v>
      </c>
      <c r="C49" s="23" t="s">
        <v>425</v>
      </c>
      <c r="D49" s="19" t="s">
        <v>473</v>
      </c>
      <c r="G49" s="18" t="s">
        <v>58</v>
      </c>
      <c r="H49" s="34">
        <v>1</v>
      </c>
      <c r="I49" s="30" t="s">
        <v>208</v>
      </c>
      <c r="J49" s="23" t="s">
        <v>216</v>
      </c>
      <c r="K49" s="19" t="s">
        <v>242</v>
      </c>
    </row>
    <row r="50" spans="1:11" x14ac:dyDescent="0.25">
      <c r="A50" s="20" t="s">
        <v>372</v>
      </c>
      <c r="B50" s="25">
        <v>1</v>
      </c>
      <c r="C50" s="23" t="s">
        <v>425</v>
      </c>
      <c r="D50" s="19" t="s">
        <v>474</v>
      </c>
      <c r="G50" s="18" t="s">
        <v>59</v>
      </c>
      <c r="H50" s="34">
        <v>1</v>
      </c>
      <c r="I50" s="30" t="s">
        <v>208</v>
      </c>
      <c r="J50" s="23" t="s">
        <v>216</v>
      </c>
      <c r="K50" s="19" t="s">
        <v>242</v>
      </c>
    </row>
    <row r="51" spans="1:11" x14ac:dyDescent="0.25">
      <c r="A51" s="20" t="s">
        <v>373</v>
      </c>
      <c r="B51" s="25">
        <v>1</v>
      </c>
      <c r="C51" s="23" t="s">
        <v>425</v>
      </c>
      <c r="D51" s="19" t="s">
        <v>475</v>
      </c>
      <c r="G51" s="18" t="s">
        <v>60</v>
      </c>
      <c r="H51" s="34">
        <v>1</v>
      </c>
      <c r="I51" s="30" t="s">
        <v>208</v>
      </c>
      <c r="J51" s="23" t="s">
        <v>216</v>
      </c>
      <c r="K51" s="19" t="s">
        <v>242</v>
      </c>
    </row>
    <row r="52" spans="1:11" x14ac:dyDescent="0.25">
      <c r="A52" s="20" t="s">
        <v>374</v>
      </c>
      <c r="B52" s="25">
        <v>1</v>
      </c>
      <c r="C52" s="23" t="s">
        <v>425</v>
      </c>
      <c r="D52" s="19" t="s">
        <v>476</v>
      </c>
      <c r="G52" s="18" t="s">
        <v>61</v>
      </c>
      <c r="H52" s="34">
        <v>1</v>
      </c>
      <c r="I52" s="30" t="s">
        <v>208</v>
      </c>
      <c r="J52" s="23" t="s">
        <v>216</v>
      </c>
      <c r="K52" s="19" t="s">
        <v>242</v>
      </c>
    </row>
    <row r="53" spans="1:11" x14ac:dyDescent="0.25">
      <c r="A53" s="20" t="s">
        <v>375</v>
      </c>
      <c r="B53" s="25">
        <v>1</v>
      </c>
      <c r="C53" s="23" t="s">
        <v>425</v>
      </c>
      <c r="D53" s="19" t="s">
        <v>477</v>
      </c>
      <c r="G53" s="18" t="s">
        <v>62</v>
      </c>
      <c r="H53" s="34">
        <v>1</v>
      </c>
      <c r="I53" s="30" t="s">
        <v>208</v>
      </c>
      <c r="J53" s="23" t="s">
        <v>216</v>
      </c>
      <c r="K53" s="19" t="s">
        <v>242</v>
      </c>
    </row>
    <row r="54" spans="1:11" x14ac:dyDescent="0.25">
      <c r="A54" s="20" t="s">
        <v>376</v>
      </c>
      <c r="B54" s="25">
        <v>1</v>
      </c>
      <c r="C54" s="23" t="s">
        <v>425</v>
      </c>
      <c r="D54" s="19" t="s">
        <v>478</v>
      </c>
      <c r="G54" s="18" t="s">
        <v>63</v>
      </c>
      <c r="H54" s="34">
        <v>1</v>
      </c>
      <c r="I54" s="30" t="s">
        <v>208</v>
      </c>
      <c r="J54" s="23" t="s">
        <v>216</v>
      </c>
      <c r="K54" s="19" t="s">
        <v>242</v>
      </c>
    </row>
    <row r="55" spans="1:11" x14ac:dyDescent="0.25">
      <c r="A55" s="20" t="s">
        <v>377</v>
      </c>
      <c r="B55" s="25">
        <v>1</v>
      </c>
      <c r="C55" s="23" t="s">
        <v>425</v>
      </c>
      <c r="D55" s="19" t="s">
        <v>479</v>
      </c>
      <c r="G55" s="18" t="s">
        <v>64</v>
      </c>
      <c r="H55" s="34">
        <v>1</v>
      </c>
      <c r="I55" s="30" t="s">
        <v>208</v>
      </c>
      <c r="J55" s="23" t="s">
        <v>216</v>
      </c>
      <c r="K55" s="19" t="s">
        <v>242</v>
      </c>
    </row>
    <row r="56" spans="1:11" x14ac:dyDescent="0.25">
      <c r="A56" s="20" t="s">
        <v>378</v>
      </c>
      <c r="B56" s="25">
        <v>1</v>
      </c>
      <c r="C56" s="23" t="s">
        <v>425</v>
      </c>
      <c r="D56" s="19" t="s">
        <v>480</v>
      </c>
      <c r="G56" s="18" t="s">
        <v>65</v>
      </c>
      <c r="H56" s="34">
        <v>1</v>
      </c>
      <c r="I56" s="30" t="s">
        <v>208</v>
      </c>
      <c r="J56" s="23" t="s">
        <v>216</v>
      </c>
      <c r="K56" s="19" t="s">
        <v>242</v>
      </c>
    </row>
    <row r="57" spans="1:11" x14ac:dyDescent="0.25">
      <c r="A57" s="20" t="s">
        <v>379</v>
      </c>
      <c r="B57" s="25">
        <v>1</v>
      </c>
      <c r="C57" s="23" t="s">
        <v>425</v>
      </c>
      <c r="D57" s="19" t="s">
        <v>481</v>
      </c>
      <c r="G57" s="18" t="s">
        <v>66</v>
      </c>
      <c r="H57" s="34">
        <v>1</v>
      </c>
      <c r="I57" s="30" t="s">
        <v>208</v>
      </c>
      <c r="J57" s="23" t="s">
        <v>216</v>
      </c>
      <c r="K57" s="19" t="s">
        <v>242</v>
      </c>
    </row>
    <row r="58" spans="1:11" x14ac:dyDescent="0.25">
      <c r="A58" s="20" t="s">
        <v>380</v>
      </c>
      <c r="B58" s="25">
        <v>1</v>
      </c>
      <c r="C58" s="23" t="s">
        <v>425</v>
      </c>
      <c r="D58" s="19" t="s">
        <v>482</v>
      </c>
      <c r="G58" s="18" t="s">
        <v>67</v>
      </c>
      <c r="H58" s="34">
        <v>1</v>
      </c>
      <c r="I58" s="30" t="s">
        <v>208</v>
      </c>
      <c r="J58" s="23" t="s">
        <v>216</v>
      </c>
      <c r="K58" s="19" t="s">
        <v>242</v>
      </c>
    </row>
    <row r="59" spans="1:11" x14ac:dyDescent="0.25">
      <c r="A59" s="20" t="s">
        <v>381</v>
      </c>
      <c r="B59" s="25">
        <v>1</v>
      </c>
      <c r="C59" s="23" t="s">
        <v>425</v>
      </c>
      <c r="D59" s="19" t="s">
        <v>483</v>
      </c>
      <c r="G59" s="18" t="s">
        <v>68</v>
      </c>
      <c r="H59" s="34">
        <v>1</v>
      </c>
      <c r="I59" s="30" t="s">
        <v>208</v>
      </c>
      <c r="J59" s="23" t="s">
        <v>216</v>
      </c>
      <c r="K59" s="19" t="s">
        <v>239</v>
      </c>
    </row>
    <row r="60" spans="1:11" x14ac:dyDescent="0.25">
      <c r="A60" s="20" t="s">
        <v>382</v>
      </c>
      <c r="B60" s="25">
        <v>1</v>
      </c>
      <c r="C60" s="23" t="s">
        <v>425</v>
      </c>
      <c r="D60" s="19" t="s">
        <v>475</v>
      </c>
      <c r="G60" s="18" t="s">
        <v>69</v>
      </c>
      <c r="H60" s="34">
        <v>1</v>
      </c>
      <c r="I60" s="30" t="s">
        <v>208</v>
      </c>
      <c r="J60" s="23" t="s">
        <v>216</v>
      </c>
      <c r="K60" s="19" t="s">
        <v>243</v>
      </c>
    </row>
    <row r="61" spans="1:11" x14ac:dyDescent="0.25">
      <c r="A61" s="20" t="s">
        <v>383</v>
      </c>
      <c r="B61" s="25">
        <v>1</v>
      </c>
      <c r="C61" s="23" t="s">
        <v>425</v>
      </c>
      <c r="D61" s="19" t="s">
        <v>484</v>
      </c>
      <c r="G61" s="18" t="s">
        <v>70</v>
      </c>
      <c r="H61" s="34">
        <v>1</v>
      </c>
      <c r="I61" s="30" t="s">
        <v>208</v>
      </c>
      <c r="J61" s="23" t="s">
        <v>216</v>
      </c>
      <c r="K61" s="19" t="s">
        <v>239</v>
      </c>
    </row>
    <row r="62" spans="1:11" x14ac:dyDescent="0.25">
      <c r="A62" s="20" t="s">
        <v>384</v>
      </c>
      <c r="B62" s="25">
        <v>1</v>
      </c>
      <c r="C62" s="23" t="s">
        <v>425</v>
      </c>
      <c r="D62" s="19" t="s">
        <v>484</v>
      </c>
      <c r="G62" s="18" t="s">
        <v>71</v>
      </c>
      <c r="H62" s="34">
        <v>1</v>
      </c>
      <c r="I62" s="30" t="s">
        <v>208</v>
      </c>
      <c r="J62" s="23" t="s">
        <v>216</v>
      </c>
      <c r="K62" s="19" t="s">
        <v>239</v>
      </c>
    </row>
    <row r="63" spans="1:11" x14ac:dyDescent="0.25">
      <c r="A63" s="20" t="s">
        <v>385</v>
      </c>
      <c r="B63" s="25">
        <v>1</v>
      </c>
      <c r="C63" s="23" t="s">
        <v>425</v>
      </c>
      <c r="D63" s="19" t="s">
        <v>485</v>
      </c>
      <c r="G63" s="18" t="s">
        <v>72</v>
      </c>
      <c r="H63" s="34">
        <v>1</v>
      </c>
      <c r="I63" s="30" t="s">
        <v>208</v>
      </c>
      <c r="J63" s="23" t="s">
        <v>216</v>
      </c>
      <c r="K63" s="19" t="s">
        <v>244</v>
      </c>
    </row>
    <row r="64" spans="1:11" x14ac:dyDescent="0.25">
      <c r="A64" s="20" t="s">
        <v>386</v>
      </c>
      <c r="B64" s="25">
        <v>1</v>
      </c>
      <c r="C64" s="23" t="s">
        <v>425</v>
      </c>
      <c r="D64" s="19" t="s">
        <v>486</v>
      </c>
      <c r="G64" s="18" t="s">
        <v>73</v>
      </c>
      <c r="H64" s="34">
        <v>1</v>
      </c>
      <c r="I64" s="30" t="s">
        <v>208</v>
      </c>
      <c r="J64" s="23" t="s">
        <v>216</v>
      </c>
      <c r="K64" s="19" t="s">
        <v>245</v>
      </c>
    </row>
    <row r="65" spans="1:11" x14ac:dyDescent="0.25">
      <c r="A65" s="20" t="s">
        <v>387</v>
      </c>
      <c r="B65" s="25">
        <v>1</v>
      </c>
      <c r="C65" s="23" t="s">
        <v>425</v>
      </c>
      <c r="D65" s="19" t="s">
        <v>486</v>
      </c>
      <c r="G65" s="18" t="s">
        <v>74</v>
      </c>
      <c r="H65" s="34">
        <v>1</v>
      </c>
      <c r="I65" s="30" t="s">
        <v>208</v>
      </c>
      <c r="J65" s="23" t="s">
        <v>216</v>
      </c>
      <c r="K65" s="19" t="s">
        <v>239</v>
      </c>
    </row>
    <row r="66" spans="1:11" x14ac:dyDescent="0.25">
      <c r="A66" s="20" t="s">
        <v>388</v>
      </c>
      <c r="B66" s="25">
        <v>1</v>
      </c>
      <c r="C66" s="23" t="s">
        <v>427</v>
      </c>
      <c r="D66" s="19" t="s">
        <v>487</v>
      </c>
      <c r="G66" s="18" t="s">
        <v>75</v>
      </c>
      <c r="H66" s="34">
        <v>1</v>
      </c>
      <c r="I66" s="30" t="s">
        <v>208</v>
      </c>
      <c r="J66" s="23" t="s">
        <v>216</v>
      </c>
      <c r="K66" s="19" t="s">
        <v>238</v>
      </c>
    </row>
    <row r="67" spans="1:11" x14ac:dyDescent="0.25">
      <c r="A67" s="20" t="s">
        <v>389</v>
      </c>
      <c r="B67" s="25">
        <v>1</v>
      </c>
      <c r="C67" s="23" t="s">
        <v>427</v>
      </c>
      <c r="D67" s="19" t="s">
        <v>487</v>
      </c>
      <c r="G67" s="18" t="s">
        <v>76</v>
      </c>
      <c r="H67" s="34">
        <v>1</v>
      </c>
      <c r="I67" s="30" t="s">
        <v>208</v>
      </c>
      <c r="J67" s="23" t="s">
        <v>216</v>
      </c>
      <c r="K67" s="19" t="s">
        <v>238</v>
      </c>
    </row>
    <row r="68" spans="1:11" x14ac:dyDescent="0.25">
      <c r="A68" s="20" t="s">
        <v>390</v>
      </c>
      <c r="B68" s="25">
        <v>1</v>
      </c>
      <c r="C68" s="23" t="s">
        <v>427</v>
      </c>
      <c r="D68" s="19" t="s">
        <v>487</v>
      </c>
      <c r="G68" s="18" t="s">
        <v>77</v>
      </c>
      <c r="H68" s="34">
        <v>1</v>
      </c>
      <c r="I68" s="30">
        <v>1</v>
      </c>
      <c r="J68" s="23" t="s">
        <v>217</v>
      </c>
      <c r="K68" s="19" t="s">
        <v>246</v>
      </c>
    </row>
    <row r="69" spans="1:11" x14ac:dyDescent="0.25">
      <c r="A69" s="20" t="s">
        <v>391</v>
      </c>
      <c r="B69" s="25">
        <v>1</v>
      </c>
      <c r="C69" s="23" t="s">
        <v>427</v>
      </c>
      <c r="D69" s="19" t="s">
        <v>487</v>
      </c>
      <c r="G69" s="18" t="s">
        <v>78</v>
      </c>
      <c r="H69" s="34">
        <v>1</v>
      </c>
      <c r="I69" s="30">
        <v>1</v>
      </c>
      <c r="J69" s="23" t="s">
        <v>217</v>
      </c>
      <c r="K69" s="19" t="s">
        <v>247</v>
      </c>
    </row>
    <row r="70" spans="1:11" x14ac:dyDescent="0.25">
      <c r="A70" s="20" t="s">
        <v>392</v>
      </c>
      <c r="B70" s="25">
        <v>1</v>
      </c>
      <c r="C70" s="23" t="s">
        <v>427</v>
      </c>
      <c r="D70" s="19" t="s">
        <v>488</v>
      </c>
      <c r="G70" s="18" t="s">
        <v>79</v>
      </c>
      <c r="H70" s="34">
        <v>1</v>
      </c>
      <c r="I70" s="30">
        <v>1</v>
      </c>
      <c r="J70" s="23" t="s">
        <v>212</v>
      </c>
      <c r="K70" s="19" t="s">
        <v>248</v>
      </c>
    </row>
    <row r="71" spans="1:11" x14ac:dyDescent="0.25">
      <c r="A71" s="20" t="s">
        <v>393</v>
      </c>
      <c r="B71" s="25">
        <v>1</v>
      </c>
      <c r="C71" s="23" t="s">
        <v>427</v>
      </c>
      <c r="D71" s="19" t="s">
        <v>488</v>
      </c>
      <c r="G71" s="18" t="s">
        <v>80</v>
      </c>
      <c r="H71" s="34">
        <v>1</v>
      </c>
      <c r="I71" s="30">
        <v>1</v>
      </c>
      <c r="J71" s="23" t="s">
        <v>217</v>
      </c>
      <c r="K71" s="19" t="s">
        <v>247</v>
      </c>
    </row>
    <row r="72" spans="1:11" x14ac:dyDescent="0.25">
      <c r="A72" s="20" t="s">
        <v>394</v>
      </c>
      <c r="B72" s="25">
        <v>1</v>
      </c>
      <c r="C72" s="23" t="s">
        <v>427</v>
      </c>
      <c r="D72" s="19" t="s">
        <v>488</v>
      </c>
      <c r="G72" s="18" t="s">
        <v>81</v>
      </c>
      <c r="H72" s="34">
        <v>1</v>
      </c>
      <c r="I72" s="30">
        <v>1</v>
      </c>
      <c r="J72" s="23" t="s">
        <v>212</v>
      </c>
      <c r="K72" s="19" t="s">
        <v>249</v>
      </c>
    </row>
    <row r="73" spans="1:11" x14ac:dyDescent="0.25">
      <c r="A73" s="20" t="s">
        <v>395</v>
      </c>
      <c r="B73" s="25">
        <v>1</v>
      </c>
      <c r="C73" s="23" t="s">
        <v>427</v>
      </c>
      <c r="D73" s="19" t="s">
        <v>488</v>
      </c>
      <c r="G73" s="18" t="s">
        <v>82</v>
      </c>
      <c r="H73" s="34">
        <v>1</v>
      </c>
      <c r="I73" s="30">
        <v>1</v>
      </c>
      <c r="J73" s="23" t="s">
        <v>217</v>
      </c>
      <c r="K73" s="19" t="s">
        <v>250</v>
      </c>
    </row>
    <row r="74" spans="1:11" x14ac:dyDescent="0.25">
      <c r="A74" s="20" t="s">
        <v>396</v>
      </c>
      <c r="B74" s="25">
        <v>1</v>
      </c>
      <c r="C74" s="23" t="s">
        <v>425</v>
      </c>
      <c r="D74" s="19" t="s">
        <v>396</v>
      </c>
      <c r="G74" s="18" t="s">
        <v>83</v>
      </c>
      <c r="H74" s="34">
        <v>1</v>
      </c>
      <c r="I74" s="30">
        <v>1</v>
      </c>
      <c r="J74" s="23" t="s">
        <v>212</v>
      </c>
      <c r="K74" s="19" t="s">
        <v>251</v>
      </c>
    </row>
    <row r="75" spans="1:11" x14ac:dyDescent="0.25">
      <c r="A75" s="20" t="s">
        <v>397</v>
      </c>
      <c r="B75" s="25">
        <v>1</v>
      </c>
      <c r="C75" s="23" t="s">
        <v>425</v>
      </c>
      <c r="D75" s="19" t="s">
        <v>489</v>
      </c>
      <c r="G75" s="18" t="s">
        <v>84</v>
      </c>
      <c r="H75" s="34">
        <v>1</v>
      </c>
      <c r="I75" s="30">
        <v>1</v>
      </c>
      <c r="J75" s="23" t="s">
        <v>217</v>
      </c>
      <c r="K75" s="19" t="s">
        <v>252</v>
      </c>
    </row>
    <row r="76" spans="1:11" x14ac:dyDescent="0.25">
      <c r="A76" s="20" t="s">
        <v>398</v>
      </c>
      <c r="B76" s="25">
        <v>1</v>
      </c>
      <c r="C76" s="23" t="s">
        <v>425</v>
      </c>
      <c r="D76" s="19" t="s">
        <v>398</v>
      </c>
      <c r="G76" s="18" t="s">
        <v>85</v>
      </c>
      <c r="H76" s="34">
        <v>1</v>
      </c>
      <c r="I76" s="30">
        <v>1</v>
      </c>
      <c r="J76" s="23" t="s">
        <v>212</v>
      </c>
      <c r="K76" s="19" t="s">
        <v>252</v>
      </c>
    </row>
    <row r="77" spans="1:11" x14ac:dyDescent="0.25">
      <c r="A77" s="20" t="s">
        <v>399</v>
      </c>
      <c r="B77" s="25">
        <v>1</v>
      </c>
      <c r="C77" s="23" t="s">
        <v>425</v>
      </c>
      <c r="D77" s="19" t="s">
        <v>490</v>
      </c>
      <c r="G77" s="18" t="s">
        <v>86</v>
      </c>
      <c r="H77" s="34">
        <v>1</v>
      </c>
      <c r="I77" s="30">
        <v>1</v>
      </c>
      <c r="J77" s="23" t="s">
        <v>217</v>
      </c>
      <c r="K77" s="19" t="s">
        <v>253</v>
      </c>
    </row>
    <row r="78" spans="1:11" x14ac:dyDescent="0.25">
      <c r="A78" s="20" t="s">
        <v>400</v>
      </c>
      <c r="B78" s="25">
        <v>1</v>
      </c>
      <c r="C78" s="23" t="s">
        <v>425</v>
      </c>
      <c r="D78" s="19" t="s">
        <v>400</v>
      </c>
      <c r="G78" s="18" t="s">
        <v>87</v>
      </c>
      <c r="H78" s="34">
        <v>1</v>
      </c>
      <c r="I78" s="30">
        <v>1</v>
      </c>
      <c r="J78" s="23" t="s">
        <v>212</v>
      </c>
      <c r="K78" s="19" t="s">
        <v>253</v>
      </c>
    </row>
    <row r="79" spans="1:11" x14ac:dyDescent="0.25">
      <c r="A79" s="20" t="s">
        <v>401</v>
      </c>
      <c r="B79" s="25">
        <v>1</v>
      </c>
      <c r="C79" s="23" t="s">
        <v>425</v>
      </c>
      <c r="D79" s="19" t="s">
        <v>401</v>
      </c>
      <c r="G79" s="18" t="s">
        <v>88</v>
      </c>
      <c r="H79" s="34">
        <v>1</v>
      </c>
      <c r="I79" s="30">
        <v>1</v>
      </c>
      <c r="J79" s="23" t="s">
        <v>217</v>
      </c>
      <c r="K79" s="19" t="s">
        <v>236</v>
      </c>
    </row>
    <row r="80" spans="1:11" x14ac:dyDescent="0.25">
      <c r="A80" s="20" t="s">
        <v>402</v>
      </c>
      <c r="B80" s="25">
        <v>1</v>
      </c>
      <c r="C80" s="23" t="s">
        <v>425</v>
      </c>
      <c r="D80" s="19" t="s">
        <v>402</v>
      </c>
      <c r="G80" s="18" t="s">
        <v>89</v>
      </c>
      <c r="H80" s="34">
        <v>1</v>
      </c>
      <c r="I80" s="30">
        <v>1</v>
      </c>
      <c r="J80" s="23" t="s">
        <v>212</v>
      </c>
      <c r="K80" s="19" t="s">
        <v>254</v>
      </c>
    </row>
    <row r="81" spans="1:11" x14ac:dyDescent="0.25">
      <c r="A81" s="20" t="s">
        <v>403</v>
      </c>
      <c r="B81" s="25">
        <v>1</v>
      </c>
      <c r="C81" s="23" t="s">
        <v>425</v>
      </c>
      <c r="D81" s="19" t="s">
        <v>403</v>
      </c>
      <c r="G81" s="18" t="s">
        <v>90</v>
      </c>
      <c r="H81" s="34">
        <v>1</v>
      </c>
      <c r="I81" s="30">
        <v>1</v>
      </c>
      <c r="J81" s="23" t="s">
        <v>217</v>
      </c>
      <c r="K81" s="19" t="s">
        <v>255</v>
      </c>
    </row>
    <row r="82" spans="1:11" x14ac:dyDescent="0.25">
      <c r="A82" s="20" t="s">
        <v>404</v>
      </c>
      <c r="B82" s="25">
        <v>1</v>
      </c>
      <c r="C82" s="23" t="s">
        <v>425</v>
      </c>
      <c r="D82" s="19" t="s">
        <v>404</v>
      </c>
      <c r="G82" s="18" t="s">
        <v>91</v>
      </c>
      <c r="H82" s="34">
        <v>1</v>
      </c>
      <c r="I82" s="30">
        <v>1</v>
      </c>
      <c r="J82" s="23" t="s">
        <v>212</v>
      </c>
      <c r="K82" s="19" t="s">
        <v>255</v>
      </c>
    </row>
    <row r="83" spans="1:11" x14ac:dyDescent="0.25">
      <c r="A83" s="20" t="s">
        <v>405</v>
      </c>
      <c r="B83" s="25">
        <v>1</v>
      </c>
      <c r="C83" s="23" t="s">
        <v>425</v>
      </c>
      <c r="D83" s="19" t="s">
        <v>405</v>
      </c>
      <c r="G83" s="18" t="s">
        <v>92</v>
      </c>
      <c r="H83" s="34">
        <v>1</v>
      </c>
      <c r="I83" s="30">
        <v>1</v>
      </c>
      <c r="J83" s="23" t="s">
        <v>217</v>
      </c>
      <c r="K83" s="19" t="s">
        <v>256</v>
      </c>
    </row>
    <row r="84" spans="1:11" x14ac:dyDescent="0.25">
      <c r="A84" s="20" t="s">
        <v>406</v>
      </c>
      <c r="B84" s="25">
        <v>1</v>
      </c>
      <c r="C84" s="23" t="s">
        <v>425</v>
      </c>
      <c r="D84" s="19" t="s">
        <v>491</v>
      </c>
      <c r="G84" s="18" t="s">
        <v>93</v>
      </c>
      <c r="H84" s="34">
        <v>1</v>
      </c>
      <c r="I84" s="30">
        <v>1</v>
      </c>
      <c r="J84" s="23" t="s">
        <v>212</v>
      </c>
      <c r="K84" s="19" t="s">
        <v>257</v>
      </c>
    </row>
    <row r="85" spans="1:11" x14ac:dyDescent="0.25">
      <c r="A85" s="20" t="s">
        <v>407</v>
      </c>
      <c r="B85" s="25">
        <v>1</v>
      </c>
      <c r="C85" s="23" t="s">
        <v>425</v>
      </c>
      <c r="D85" s="19" t="s">
        <v>407</v>
      </c>
      <c r="G85" s="20" t="s">
        <v>94</v>
      </c>
      <c r="H85" s="34">
        <v>1</v>
      </c>
      <c r="I85" s="30">
        <v>1</v>
      </c>
      <c r="J85" s="23" t="s">
        <v>217</v>
      </c>
      <c r="K85" s="19" t="s">
        <v>256</v>
      </c>
    </row>
    <row r="86" spans="1:11" x14ac:dyDescent="0.25">
      <c r="A86" s="20" t="s">
        <v>408</v>
      </c>
      <c r="B86" s="25">
        <v>1</v>
      </c>
      <c r="C86" s="23" t="s">
        <v>425</v>
      </c>
      <c r="D86" s="19" t="s">
        <v>408</v>
      </c>
      <c r="G86" s="20" t="s">
        <v>95</v>
      </c>
      <c r="H86" s="34">
        <v>1</v>
      </c>
      <c r="I86" s="30">
        <v>1</v>
      </c>
      <c r="J86" s="23" t="s">
        <v>217</v>
      </c>
      <c r="K86" s="19" t="s">
        <v>256</v>
      </c>
    </row>
    <row r="87" spans="1:11" x14ac:dyDescent="0.25">
      <c r="A87" s="20" t="s">
        <v>409</v>
      </c>
      <c r="B87" s="25">
        <v>1</v>
      </c>
      <c r="C87" s="23" t="s">
        <v>425</v>
      </c>
      <c r="D87" s="19" t="s">
        <v>492</v>
      </c>
      <c r="G87" s="20" t="s">
        <v>96</v>
      </c>
      <c r="H87" s="34">
        <v>1</v>
      </c>
      <c r="I87" s="30">
        <v>1</v>
      </c>
      <c r="J87" s="23" t="s">
        <v>217</v>
      </c>
      <c r="K87" s="19" t="s">
        <v>256</v>
      </c>
    </row>
    <row r="88" spans="1:11" x14ac:dyDescent="0.25">
      <c r="A88" s="20" t="s">
        <v>410</v>
      </c>
      <c r="B88" s="25">
        <v>1</v>
      </c>
      <c r="C88" s="23" t="s">
        <v>425</v>
      </c>
      <c r="D88" s="19" t="s">
        <v>410</v>
      </c>
      <c r="G88" s="20" t="s">
        <v>97</v>
      </c>
      <c r="H88" s="34">
        <v>1</v>
      </c>
      <c r="I88" s="30">
        <v>1</v>
      </c>
      <c r="J88" s="23" t="s">
        <v>217</v>
      </c>
      <c r="K88" s="19" t="s">
        <v>256</v>
      </c>
    </row>
    <row r="89" spans="1:11" x14ac:dyDescent="0.25">
      <c r="A89" s="20" t="s">
        <v>411</v>
      </c>
      <c r="B89" s="25">
        <v>1</v>
      </c>
      <c r="C89" s="23" t="s">
        <v>425</v>
      </c>
      <c r="D89" s="19" t="s">
        <v>493</v>
      </c>
      <c r="G89" s="20" t="s">
        <v>98</v>
      </c>
      <c r="H89" s="34">
        <v>1</v>
      </c>
      <c r="I89" s="30">
        <v>1</v>
      </c>
      <c r="J89" s="23" t="s">
        <v>217</v>
      </c>
      <c r="K89" s="19" t="s">
        <v>256</v>
      </c>
    </row>
    <row r="90" spans="1:11" x14ac:dyDescent="0.25">
      <c r="A90" s="20" t="s">
        <v>412</v>
      </c>
      <c r="B90" s="25">
        <v>1</v>
      </c>
      <c r="C90" s="23" t="s">
        <v>425</v>
      </c>
      <c r="D90" s="19" t="s">
        <v>494</v>
      </c>
      <c r="G90" s="20" t="s">
        <v>99</v>
      </c>
      <c r="H90" s="34">
        <v>1</v>
      </c>
      <c r="I90" s="30">
        <v>1</v>
      </c>
      <c r="J90" s="23" t="s">
        <v>217</v>
      </c>
      <c r="K90" s="19" t="s">
        <v>256</v>
      </c>
    </row>
    <row r="91" spans="1:11" x14ac:dyDescent="0.25">
      <c r="A91" s="20" t="s">
        <v>413</v>
      </c>
      <c r="B91" s="25">
        <v>1</v>
      </c>
      <c r="C91" s="23" t="s">
        <v>425</v>
      </c>
      <c r="D91" s="19" t="s">
        <v>495</v>
      </c>
      <c r="G91" s="20" t="s">
        <v>100</v>
      </c>
      <c r="H91" s="34">
        <v>1</v>
      </c>
      <c r="I91" s="30">
        <v>1</v>
      </c>
      <c r="J91" s="23" t="s">
        <v>217</v>
      </c>
      <c r="K91" s="19" t="s">
        <v>256</v>
      </c>
    </row>
    <row r="92" spans="1:11" x14ac:dyDescent="0.25">
      <c r="A92" s="20" t="s">
        <v>414</v>
      </c>
      <c r="B92" s="25">
        <v>1</v>
      </c>
      <c r="C92" s="23" t="s">
        <v>428</v>
      </c>
      <c r="D92" s="19" t="s">
        <v>496</v>
      </c>
      <c r="G92" s="20" t="s">
        <v>101</v>
      </c>
      <c r="H92" s="34">
        <v>1</v>
      </c>
      <c r="I92" s="30">
        <v>1</v>
      </c>
      <c r="J92" s="23" t="s">
        <v>217</v>
      </c>
      <c r="K92" s="19" t="s">
        <v>256</v>
      </c>
    </row>
    <row r="93" spans="1:11" x14ac:dyDescent="0.25">
      <c r="A93" s="20" t="s">
        <v>415</v>
      </c>
      <c r="B93" s="25">
        <v>1</v>
      </c>
      <c r="C93" s="23" t="s">
        <v>428</v>
      </c>
      <c r="D93" s="19" t="s">
        <v>497</v>
      </c>
      <c r="G93" s="20" t="s">
        <v>102</v>
      </c>
      <c r="H93" s="34">
        <v>1</v>
      </c>
      <c r="I93" s="30">
        <v>1</v>
      </c>
      <c r="J93" s="23" t="s">
        <v>217</v>
      </c>
      <c r="K93" s="19" t="s">
        <v>256</v>
      </c>
    </row>
    <row r="94" spans="1:11" x14ac:dyDescent="0.25">
      <c r="A94" s="20" t="s">
        <v>416</v>
      </c>
      <c r="B94" s="25">
        <v>1</v>
      </c>
      <c r="C94" s="23" t="s">
        <v>426</v>
      </c>
      <c r="D94" s="19" t="s">
        <v>498</v>
      </c>
      <c r="G94" s="20" t="s">
        <v>103</v>
      </c>
      <c r="H94" s="34">
        <v>1</v>
      </c>
      <c r="I94" s="30">
        <v>1</v>
      </c>
      <c r="J94" s="23" t="s">
        <v>212</v>
      </c>
      <c r="K94" s="19" t="s">
        <v>258</v>
      </c>
    </row>
    <row r="95" spans="1:11" x14ac:dyDescent="0.25">
      <c r="A95" s="20" t="s">
        <v>417</v>
      </c>
      <c r="B95" s="25">
        <v>1</v>
      </c>
      <c r="C95" s="23" t="s">
        <v>426</v>
      </c>
      <c r="D95" s="19" t="s">
        <v>499</v>
      </c>
      <c r="G95" s="20" t="s">
        <v>104</v>
      </c>
      <c r="H95" s="34">
        <v>1</v>
      </c>
      <c r="I95" s="30">
        <v>1</v>
      </c>
      <c r="J95" s="23" t="s">
        <v>217</v>
      </c>
      <c r="K95" s="19" t="s">
        <v>259</v>
      </c>
    </row>
    <row r="96" spans="1:11" x14ac:dyDescent="0.25">
      <c r="A96" s="20" t="s">
        <v>418</v>
      </c>
      <c r="B96" s="25">
        <v>1</v>
      </c>
      <c r="C96" s="23" t="s">
        <v>426</v>
      </c>
      <c r="D96" s="19" t="s">
        <v>500</v>
      </c>
      <c r="G96" s="20" t="s">
        <v>105</v>
      </c>
      <c r="H96" s="34">
        <v>1</v>
      </c>
      <c r="I96" s="30">
        <v>1</v>
      </c>
      <c r="J96" s="23" t="s">
        <v>217</v>
      </c>
      <c r="K96" s="19" t="s">
        <v>259</v>
      </c>
    </row>
    <row r="97" spans="1:11" x14ac:dyDescent="0.25">
      <c r="A97" s="20" t="s">
        <v>419</v>
      </c>
      <c r="B97" s="25">
        <v>1</v>
      </c>
      <c r="C97" s="23" t="s">
        <v>426</v>
      </c>
      <c r="D97" s="19" t="s">
        <v>501</v>
      </c>
      <c r="G97" s="20" t="s">
        <v>106</v>
      </c>
      <c r="H97" s="34">
        <v>1</v>
      </c>
      <c r="I97" s="30">
        <v>1</v>
      </c>
      <c r="J97" s="23" t="s">
        <v>217</v>
      </c>
      <c r="K97" s="19" t="s">
        <v>259</v>
      </c>
    </row>
    <row r="98" spans="1:11" x14ac:dyDescent="0.25">
      <c r="A98" s="20" t="s">
        <v>420</v>
      </c>
      <c r="B98" s="25">
        <v>1</v>
      </c>
      <c r="C98" s="23" t="s">
        <v>426</v>
      </c>
      <c r="D98" s="19" t="s">
        <v>502</v>
      </c>
      <c r="G98" s="20" t="s">
        <v>107</v>
      </c>
      <c r="H98" s="34">
        <v>1</v>
      </c>
      <c r="I98" s="30">
        <v>1</v>
      </c>
      <c r="J98" s="23" t="s">
        <v>217</v>
      </c>
      <c r="K98" s="19" t="s">
        <v>259</v>
      </c>
    </row>
    <row r="99" spans="1:11" x14ac:dyDescent="0.25">
      <c r="A99" s="20" t="s">
        <v>421</v>
      </c>
      <c r="B99" s="25">
        <v>1</v>
      </c>
      <c r="C99" s="23" t="s">
        <v>425</v>
      </c>
      <c r="D99" s="19" t="s">
        <v>463</v>
      </c>
      <c r="G99" s="20" t="s">
        <v>108</v>
      </c>
      <c r="H99" s="34">
        <v>1</v>
      </c>
      <c r="I99" s="30">
        <v>1</v>
      </c>
      <c r="J99" s="23" t="s">
        <v>217</v>
      </c>
      <c r="K99" s="19" t="s">
        <v>259</v>
      </c>
    </row>
    <row r="100" spans="1:11" x14ac:dyDescent="0.25">
      <c r="A100" s="20" t="s">
        <v>422</v>
      </c>
      <c r="B100" s="25">
        <v>1</v>
      </c>
      <c r="C100" s="23" t="s">
        <v>428</v>
      </c>
      <c r="D100" s="19" t="s">
        <v>503</v>
      </c>
      <c r="G100" s="20" t="s">
        <v>109</v>
      </c>
      <c r="H100" s="34">
        <v>1</v>
      </c>
      <c r="I100" s="30">
        <v>1</v>
      </c>
      <c r="J100" s="23" t="s">
        <v>217</v>
      </c>
      <c r="K100" s="19" t="s">
        <v>259</v>
      </c>
    </row>
    <row r="101" spans="1:11" ht="15.75" thickBot="1" x14ac:dyDescent="0.3">
      <c r="A101" s="2" t="s">
        <v>423</v>
      </c>
      <c r="B101" s="26">
        <v>1</v>
      </c>
      <c r="C101" s="6" t="s">
        <v>428</v>
      </c>
      <c r="D101" s="21" t="s">
        <v>504</v>
      </c>
      <c r="G101" s="20" t="s">
        <v>110</v>
      </c>
      <c r="H101" s="34">
        <v>1</v>
      </c>
      <c r="I101" s="30">
        <v>1</v>
      </c>
      <c r="J101" s="23" t="s">
        <v>217</v>
      </c>
      <c r="K101" s="19" t="s">
        <v>259</v>
      </c>
    </row>
    <row r="102" spans="1:11" x14ac:dyDescent="0.25">
      <c r="G102" s="20" t="s">
        <v>111</v>
      </c>
      <c r="H102" s="34">
        <v>1</v>
      </c>
      <c r="I102" s="30">
        <v>1</v>
      </c>
      <c r="J102" s="23" t="s">
        <v>217</v>
      </c>
      <c r="K102" s="19" t="s">
        <v>259</v>
      </c>
    </row>
    <row r="103" spans="1:11" x14ac:dyDescent="0.25">
      <c r="G103" s="20" t="s">
        <v>112</v>
      </c>
      <c r="H103" s="34">
        <v>1</v>
      </c>
      <c r="I103" s="30">
        <v>1</v>
      </c>
      <c r="J103" s="23" t="s">
        <v>217</v>
      </c>
      <c r="K103" s="19" t="s">
        <v>259</v>
      </c>
    </row>
    <row r="104" spans="1:11" x14ac:dyDescent="0.25">
      <c r="G104" s="20" t="s">
        <v>113</v>
      </c>
      <c r="H104" s="34">
        <v>1</v>
      </c>
      <c r="I104" s="30">
        <v>1</v>
      </c>
      <c r="J104" s="23" t="s">
        <v>217</v>
      </c>
      <c r="K104" s="19" t="s">
        <v>259</v>
      </c>
    </row>
    <row r="105" spans="1:11" x14ac:dyDescent="0.25">
      <c r="G105" s="20" t="s">
        <v>114</v>
      </c>
      <c r="H105" s="34">
        <v>1</v>
      </c>
      <c r="I105" s="30">
        <v>1</v>
      </c>
      <c r="J105" s="23" t="s">
        <v>217</v>
      </c>
      <c r="K105" s="19" t="s">
        <v>260</v>
      </c>
    </row>
    <row r="106" spans="1:11" x14ac:dyDescent="0.25">
      <c r="G106" s="20" t="s">
        <v>115</v>
      </c>
      <c r="H106" s="34">
        <v>1</v>
      </c>
      <c r="I106" s="30">
        <v>1</v>
      </c>
      <c r="J106" s="23" t="s">
        <v>212</v>
      </c>
      <c r="K106" s="19" t="s">
        <v>261</v>
      </c>
    </row>
    <row r="107" spans="1:11" x14ac:dyDescent="0.25">
      <c r="G107" s="20" t="s">
        <v>116</v>
      </c>
      <c r="H107" s="34">
        <v>1</v>
      </c>
      <c r="I107" s="30">
        <v>1</v>
      </c>
      <c r="J107" s="23" t="s">
        <v>217</v>
      </c>
      <c r="K107" s="19" t="s">
        <v>262</v>
      </c>
    </row>
    <row r="108" spans="1:11" x14ac:dyDescent="0.25">
      <c r="G108" s="20" t="s">
        <v>117</v>
      </c>
      <c r="H108" s="34">
        <v>1</v>
      </c>
      <c r="I108" s="30">
        <v>1</v>
      </c>
      <c r="J108" s="23" t="s">
        <v>217</v>
      </c>
      <c r="K108" s="19" t="s">
        <v>263</v>
      </c>
    </row>
    <row r="109" spans="1:11" x14ac:dyDescent="0.25">
      <c r="G109" s="20" t="s">
        <v>118</v>
      </c>
      <c r="H109" s="34">
        <v>1</v>
      </c>
      <c r="I109" s="30">
        <v>1</v>
      </c>
      <c r="J109" s="23" t="s">
        <v>217</v>
      </c>
      <c r="K109" s="19" t="s">
        <v>264</v>
      </c>
    </row>
    <row r="110" spans="1:11" x14ac:dyDescent="0.25">
      <c r="G110" s="20" t="s">
        <v>119</v>
      </c>
      <c r="H110" s="34">
        <v>1</v>
      </c>
      <c r="I110" s="30">
        <v>1</v>
      </c>
      <c r="J110" s="23" t="s">
        <v>217</v>
      </c>
      <c r="K110" s="19" t="s">
        <v>265</v>
      </c>
    </row>
    <row r="111" spans="1:11" x14ac:dyDescent="0.25">
      <c r="G111" s="20" t="s">
        <v>120</v>
      </c>
      <c r="H111" s="34">
        <v>1</v>
      </c>
      <c r="I111" s="30">
        <v>1</v>
      </c>
      <c r="J111" s="23" t="s">
        <v>217</v>
      </c>
      <c r="K111" s="19" t="s">
        <v>266</v>
      </c>
    </row>
    <row r="112" spans="1:11" x14ac:dyDescent="0.25">
      <c r="G112" s="20" t="s">
        <v>121</v>
      </c>
      <c r="H112" s="34">
        <v>1</v>
      </c>
      <c r="I112" s="30">
        <v>1</v>
      </c>
      <c r="J112" s="23" t="s">
        <v>217</v>
      </c>
      <c r="K112" s="19" t="s">
        <v>267</v>
      </c>
    </row>
    <row r="113" spans="7:11" x14ac:dyDescent="0.25">
      <c r="G113" s="20" t="s">
        <v>122</v>
      </c>
      <c r="H113" s="34">
        <v>1</v>
      </c>
      <c r="I113" s="30">
        <v>1</v>
      </c>
      <c r="J113" s="23" t="s">
        <v>217</v>
      </c>
      <c r="K113" s="19" t="s">
        <v>268</v>
      </c>
    </row>
    <row r="114" spans="7:11" x14ac:dyDescent="0.25">
      <c r="G114" s="20" t="s">
        <v>123</v>
      </c>
      <c r="H114" s="34">
        <v>1</v>
      </c>
      <c r="I114" s="30">
        <v>1</v>
      </c>
      <c r="J114" s="23" t="s">
        <v>217</v>
      </c>
      <c r="K114" s="19" t="s">
        <v>268</v>
      </c>
    </row>
    <row r="115" spans="7:11" x14ac:dyDescent="0.25">
      <c r="G115" s="20" t="s">
        <v>124</v>
      </c>
      <c r="H115" s="34">
        <v>1</v>
      </c>
      <c r="I115" s="30">
        <v>1</v>
      </c>
      <c r="J115" s="23" t="s">
        <v>217</v>
      </c>
      <c r="K115" s="19" t="s">
        <v>268</v>
      </c>
    </row>
    <row r="116" spans="7:11" x14ac:dyDescent="0.25">
      <c r="G116" s="20" t="s">
        <v>125</v>
      </c>
      <c r="H116" s="34">
        <v>1</v>
      </c>
      <c r="I116" s="30">
        <v>1</v>
      </c>
      <c r="J116" s="23" t="s">
        <v>217</v>
      </c>
      <c r="K116" s="19" t="s">
        <v>268</v>
      </c>
    </row>
    <row r="117" spans="7:11" x14ac:dyDescent="0.25">
      <c r="G117" s="20" t="s">
        <v>126</v>
      </c>
      <c r="H117" s="34">
        <v>1</v>
      </c>
      <c r="I117" s="30">
        <v>1</v>
      </c>
      <c r="J117" s="23" t="s">
        <v>217</v>
      </c>
      <c r="K117" s="19" t="s">
        <v>268</v>
      </c>
    </row>
    <row r="118" spans="7:11" x14ac:dyDescent="0.25">
      <c r="G118" s="20" t="s">
        <v>127</v>
      </c>
      <c r="H118" s="34">
        <v>1</v>
      </c>
      <c r="I118" s="30">
        <v>1</v>
      </c>
      <c r="J118" s="23" t="s">
        <v>217</v>
      </c>
      <c r="K118" s="19" t="s">
        <v>268</v>
      </c>
    </row>
    <row r="119" spans="7:11" x14ac:dyDescent="0.25">
      <c r="G119" s="20" t="s">
        <v>128</v>
      </c>
      <c r="H119" s="34">
        <v>1</v>
      </c>
      <c r="I119" s="30">
        <v>1</v>
      </c>
      <c r="J119" s="23" t="s">
        <v>217</v>
      </c>
      <c r="K119" s="19" t="s">
        <v>268</v>
      </c>
    </row>
    <row r="120" spans="7:11" x14ac:dyDescent="0.25">
      <c r="G120" s="20" t="s">
        <v>129</v>
      </c>
      <c r="H120" s="34">
        <v>1</v>
      </c>
      <c r="I120" s="30">
        <v>1</v>
      </c>
      <c r="J120" s="23" t="s">
        <v>217</v>
      </c>
      <c r="K120" s="19" t="s">
        <v>268</v>
      </c>
    </row>
    <row r="121" spans="7:11" x14ac:dyDescent="0.25">
      <c r="G121" s="20" t="s">
        <v>130</v>
      </c>
      <c r="H121" s="34">
        <v>1</v>
      </c>
      <c r="I121" s="30">
        <v>1</v>
      </c>
      <c r="J121" s="23" t="s">
        <v>217</v>
      </c>
      <c r="K121" s="19" t="s">
        <v>268</v>
      </c>
    </row>
    <row r="122" spans="7:11" x14ac:dyDescent="0.25">
      <c r="G122" s="20" t="s">
        <v>131</v>
      </c>
      <c r="H122" s="34">
        <v>1</v>
      </c>
      <c r="I122" s="30">
        <v>1</v>
      </c>
      <c r="J122" s="23" t="s">
        <v>217</v>
      </c>
      <c r="K122" s="19" t="s">
        <v>268</v>
      </c>
    </row>
    <row r="123" spans="7:11" x14ac:dyDescent="0.25">
      <c r="G123" s="20" t="s">
        <v>132</v>
      </c>
      <c r="H123" s="34">
        <v>1</v>
      </c>
      <c r="I123" s="30">
        <v>1</v>
      </c>
      <c r="J123" s="23" t="s">
        <v>217</v>
      </c>
      <c r="K123" s="19" t="s">
        <v>269</v>
      </c>
    </row>
    <row r="124" spans="7:11" x14ac:dyDescent="0.25">
      <c r="G124" s="20" t="s">
        <v>14</v>
      </c>
      <c r="H124" s="34">
        <v>1</v>
      </c>
      <c r="I124" s="30">
        <v>1</v>
      </c>
      <c r="J124" s="23" t="s">
        <v>217</v>
      </c>
      <c r="K124" s="19" t="s">
        <v>270</v>
      </c>
    </row>
    <row r="125" spans="7:11" x14ac:dyDescent="0.25">
      <c r="G125" s="20" t="s">
        <v>133</v>
      </c>
      <c r="H125" s="34">
        <v>1</v>
      </c>
      <c r="I125" s="30">
        <v>1</v>
      </c>
      <c r="J125" s="23" t="s">
        <v>217</v>
      </c>
      <c r="K125" s="19" t="s">
        <v>271</v>
      </c>
    </row>
    <row r="126" spans="7:11" x14ac:dyDescent="0.25">
      <c r="G126" s="20" t="s">
        <v>134</v>
      </c>
      <c r="H126" s="34">
        <v>1</v>
      </c>
      <c r="I126" s="30">
        <v>1</v>
      </c>
      <c r="J126" s="23" t="s">
        <v>217</v>
      </c>
      <c r="K126" s="19" t="s">
        <v>272</v>
      </c>
    </row>
    <row r="127" spans="7:11" x14ac:dyDescent="0.25">
      <c r="G127" s="20" t="s">
        <v>135</v>
      </c>
      <c r="H127" s="34">
        <v>1</v>
      </c>
      <c r="I127" s="30" t="s">
        <v>208</v>
      </c>
      <c r="J127" s="23" t="s">
        <v>213</v>
      </c>
      <c r="K127" s="19" t="s">
        <v>273</v>
      </c>
    </row>
    <row r="128" spans="7:11" x14ac:dyDescent="0.25">
      <c r="G128" s="20" t="s">
        <v>136</v>
      </c>
      <c r="H128" s="34">
        <v>1</v>
      </c>
      <c r="I128" s="30" t="s">
        <v>208</v>
      </c>
      <c r="J128" s="23" t="s">
        <v>213</v>
      </c>
      <c r="K128" s="19" t="s">
        <v>274</v>
      </c>
    </row>
    <row r="129" spans="7:11" x14ac:dyDescent="0.25">
      <c r="G129" s="20" t="s">
        <v>137</v>
      </c>
      <c r="H129" s="34">
        <v>1</v>
      </c>
      <c r="I129" s="30" t="s">
        <v>208</v>
      </c>
      <c r="J129" s="23" t="s">
        <v>213</v>
      </c>
      <c r="K129" s="19" t="s">
        <v>275</v>
      </c>
    </row>
    <row r="130" spans="7:11" x14ac:dyDescent="0.25">
      <c r="G130" s="20" t="s">
        <v>138</v>
      </c>
      <c r="H130" s="34">
        <v>1</v>
      </c>
      <c r="I130" s="30" t="s">
        <v>208</v>
      </c>
      <c r="J130" s="23" t="s">
        <v>213</v>
      </c>
      <c r="K130" s="19" t="s">
        <v>275</v>
      </c>
    </row>
    <row r="131" spans="7:11" x14ac:dyDescent="0.25">
      <c r="G131" s="20" t="s">
        <v>139</v>
      </c>
      <c r="H131" s="34">
        <v>1</v>
      </c>
      <c r="I131" s="30" t="s">
        <v>208</v>
      </c>
      <c r="J131" s="23" t="s">
        <v>213</v>
      </c>
      <c r="K131" s="19" t="s">
        <v>275</v>
      </c>
    </row>
    <row r="132" spans="7:11" x14ac:dyDescent="0.25">
      <c r="G132" s="20" t="s">
        <v>140</v>
      </c>
      <c r="H132" s="34">
        <v>1</v>
      </c>
      <c r="I132" s="30" t="s">
        <v>208</v>
      </c>
      <c r="J132" s="23" t="s">
        <v>213</v>
      </c>
      <c r="K132" s="19" t="s">
        <v>275</v>
      </c>
    </row>
    <row r="133" spans="7:11" x14ac:dyDescent="0.25">
      <c r="G133" s="20" t="s">
        <v>141</v>
      </c>
      <c r="H133" s="34">
        <v>1</v>
      </c>
      <c r="I133" s="30" t="s">
        <v>208</v>
      </c>
      <c r="J133" s="23" t="s">
        <v>213</v>
      </c>
      <c r="K133" s="19" t="s">
        <v>276</v>
      </c>
    </row>
    <row r="134" spans="7:11" x14ac:dyDescent="0.25">
      <c r="G134" s="20" t="s">
        <v>142</v>
      </c>
      <c r="H134" s="34">
        <v>1</v>
      </c>
      <c r="I134" s="30" t="s">
        <v>208</v>
      </c>
      <c r="J134" s="23" t="s">
        <v>213</v>
      </c>
      <c r="K134" s="19" t="s">
        <v>276</v>
      </c>
    </row>
    <row r="135" spans="7:11" x14ac:dyDescent="0.25">
      <c r="G135" s="20" t="s">
        <v>143</v>
      </c>
      <c r="H135" s="34">
        <v>1</v>
      </c>
      <c r="I135" s="30" t="s">
        <v>208</v>
      </c>
      <c r="J135" s="23" t="s">
        <v>213</v>
      </c>
      <c r="K135" s="19" t="s">
        <v>277</v>
      </c>
    </row>
    <row r="136" spans="7:11" x14ac:dyDescent="0.25">
      <c r="G136" s="20" t="s">
        <v>144</v>
      </c>
      <c r="H136" s="34">
        <v>1</v>
      </c>
      <c r="I136" s="30" t="s">
        <v>208</v>
      </c>
      <c r="J136" s="23" t="s">
        <v>213</v>
      </c>
      <c r="K136" s="19" t="s">
        <v>278</v>
      </c>
    </row>
    <row r="137" spans="7:11" x14ac:dyDescent="0.25">
      <c r="G137" s="20" t="s">
        <v>145</v>
      </c>
      <c r="H137" s="34">
        <v>1</v>
      </c>
      <c r="I137" s="30" t="s">
        <v>208</v>
      </c>
      <c r="J137" s="23" t="s">
        <v>213</v>
      </c>
      <c r="K137" s="19" t="s">
        <v>276</v>
      </c>
    </row>
    <row r="138" spans="7:11" x14ac:dyDescent="0.25">
      <c r="G138" s="20" t="s">
        <v>146</v>
      </c>
      <c r="H138" s="34">
        <v>1</v>
      </c>
      <c r="I138" s="30" t="s">
        <v>208</v>
      </c>
      <c r="J138" s="23" t="s">
        <v>213</v>
      </c>
      <c r="K138" s="19" t="s">
        <v>279</v>
      </c>
    </row>
    <row r="139" spans="7:11" x14ac:dyDescent="0.25">
      <c r="G139" s="20" t="s">
        <v>147</v>
      </c>
      <c r="H139" s="34">
        <v>1</v>
      </c>
      <c r="I139" s="30" t="s">
        <v>208</v>
      </c>
      <c r="J139" s="23" t="s">
        <v>213</v>
      </c>
      <c r="K139" s="19" t="s">
        <v>280</v>
      </c>
    </row>
    <row r="140" spans="7:11" x14ac:dyDescent="0.25">
      <c r="G140" s="20" t="s">
        <v>148</v>
      </c>
      <c r="H140" s="34">
        <v>1</v>
      </c>
      <c r="I140" s="30" t="s">
        <v>208</v>
      </c>
      <c r="J140" s="23" t="s">
        <v>213</v>
      </c>
      <c r="K140" s="19" t="s">
        <v>281</v>
      </c>
    </row>
    <row r="141" spans="7:11" x14ac:dyDescent="0.25">
      <c r="G141" s="20" t="s">
        <v>149</v>
      </c>
      <c r="H141" s="34">
        <v>1</v>
      </c>
      <c r="I141" s="30" t="s">
        <v>208</v>
      </c>
      <c r="J141" s="23" t="s">
        <v>213</v>
      </c>
      <c r="K141" s="19" t="s">
        <v>282</v>
      </c>
    </row>
    <row r="142" spans="7:11" x14ac:dyDescent="0.25">
      <c r="G142" s="20" t="s">
        <v>150</v>
      </c>
      <c r="H142" s="34">
        <v>1</v>
      </c>
      <c r="I142" s="30">
        <v>1</v>
      </c>
      <c r="J142" s="23" t="s">
        <v>213</v>
      </c>
      <c r="K142" s="19" t="s">
        <v>283</v>
      </c>
    </row>
    <row r="143" spans="7:11" x14ac:dyDescent="0.25">
      <c r="G143" s="20" t="s">
        <v>151</v>
      </c>
      <c r="H143" s="34">
        <v>1</v>
      </c>
      <c r="I143" s="30" t="s">
        <v>208</v>
      </c>
      <c r="J143" s="23" t="s">
        <v>213</v>
      </c>
      <c r="K143" s="19" t="s">
        <v>280</v>
      </c>
    </row>
    <row r="144" spans="7:11" x14ac:dyDescent="0.25">
      <c r="G144" s="20" t="s">
        <v>152</v>
      </c>
      <c r="H144" s="34">
        <v>1</v>
      </c>
      <c r="I144" s="30" t="s">
        <v>208</v>
      </c>
      <c r="J144" s="23" t="s">
        <v>213</v>
      </c>
      <c r="K144" s="19" t="s">
        <v>282</v>
      </c>
    </row>
    <row r="145" spans="7:11" x14ac:dyDescent="0.25">
      <c r="G145" s="20" t="s">
        <v>153</v>
      </c>
      <c r="H145" s="34">
        <v>1</v>
      </c>
      <c r="I145" s="30" t="s">
        <v>208</v>
      </c>
      <c r="J145" s="23" t="s">
        <v>213</v>
      </c>
      <c r="K145" s="19" t="s">
        <v>284</v>
      </c>
    </row>
    <row r="146" spans="7:11" x14ac:dyDescent="0.25">
      <c r="G146" s="20" t="s">
        <v>154</v>
      </c>
      <c r="H146" s="34">
        <v>1</v>
      </c>
      <c r="I146" s="30" t="s">
        <v>208</v>
      </c>
      <c r="J146" s="23" t="s">
        <v>213</v>
      </c>
      <c r="K146" s="19" t="s">
        <v>285</v>
      </c>
    </row>
    <row r="147" spans="7:11" x14ac:dyDescent="0.25">
      <c r="G147" s="20" t="s">
        <v>155</v>
      </c>
      <c r="H147" s="34">
        <v>1</v>
      </c>
      <c r="I147" s="30" t="s">
        <v>208</v>
      </c>
      <c r="J147" s="23" t="s">
        <v>213</v>
      </c>
      <c r="K147" s="19" t="s">
        <v>285</v>
      </c>
    </row>
    <row r="148" spans="7:11" x14ac:dyDescent="0.25">
      <c r="G148" s="20" t="s">
        <v>156</v>
      </c>
      <c r="H148" s="34">
        <v>1</v>
      </c>
      <c r="I148" s="30" t="s">
        <v>208</v>
      </c>
      <c r="J148" s="23" t="s">
        <v>213</v>
      </c>
      <c r="K148" s="19" t="s">
        <v>286</v>
      </c>
    </row>
    <row r="149" spans="7:11" x14ac:dyDescent="0.25">
      <c r="G149" s="20" t="s">
        <v>157</v>
      </c>
      <c r="H149" s="34">
        <v>1</v>
      </c>
      <c r="I149" s="30">
        <v>1</v>
      </c>
      <c r="J149" s="23" t="s">
        <v>212</v>
      </c>
      <c r="K149" s="19" t="s">
        <v>287</v>
      </c>
    </row>
    <row r="150" spans="7:11" x14ac:dyDescent="0.25">
      <c r="G150" s="20" t="s">
        <v>158</v>
      </c>
      <c r="H150" s="34">
        <v>1</v>
      </c>
      <c r="I150" s="30">
        <v>1</v>
      </c>
      <c r="J150" s="23" t="s">
        <v>213</v>
      </c>
      <c r="K150" s="19" t="s">
        <v>288</v>
      </c>
    </row>
    <row r="151" spans="7:11" x14ac:dyDescent="0.25">
      <c r="G151" s="20" t="s">
        <v>159</v>
      </c>
      <c r="H151" s="34">
        <v>1</v>
      </c>
      <c r="I151" s="30">
        <v>1</v>
      </c>
      <c r="J151" s="23" t="s">
        <v>213</v>
      </c>
      <c r="K151" s="19" t="s">
        <v>289</v>
      </c>
    </row>
    <row r="152" spans="7:11" x14ac:dyDescent="0.25">
      <c r="G152" s="20" t="s">
        <v>160</v>
      </c>
      <c r="H152" s="34">
        <v>1</v>
      </c>
      <c r="I152" s="30">
        <v>1</v>
      </c>
      <c r="J152" s="23" t="s">
        <v>213</v>
      </c>
      <c r="K152" s="19" t="s">
        <v>290</v>
      </c>
    </row>
    <row r="153" spans="7:11" x14ac:dyDescent="0.25">
      <c r="G153" s="20" t="s">
        <v>161</v>
      </c>
      <c r="H153" s="34">
        <v>1</v>
      </c>
      <c r="I153" s="30">
        <v>1</v>
      </c>
      <c r="J153" s="23" t="s">
        <v>215</v>
      </c>
      <c r="K153" s="19" t="s">
        <v>291</v>
      </c>
    </row>
    <row r="154" spans="7:11" x14ac:dyDescent="0.25">
      <c r="G154" s="20" t="s">
        <v>162</v>
      </c>
      <c r="H154" s="34">
        <v>1</v>
      </c>
      <c r="I154" s="30">
        <v>1</v>
      </c>
      <c r="J154" s="23" t="s">
        <v>213</v>
      </c>
      <c r="K154" s="19" t="s">
        <v>292</v>
      </c>
    </row>
    <row r="155" spans="7:11" x14ac:dyDescent="0.25">
      <c r="G155" s="20" t="s">
        <v>163</v>
      </c>
      <c r="H155" s="34">
        <v>1</v>
      </c>
      <c r="I155" s="30">
        <v>1</v>
      </c>
      <c r="J155" s="23" t="s">
        <v>215</v>
      </c>
      <c r="K155" s="19" t="s">
        <v>293</v>
      </c>
    </row>
    <row r="156" spans="7:11" x14ac:dyDescent="0.25">
      <c r="G156" s="20" t="s">
        <v>164</v>
      </c>
      <c r="H156" s="34">
        <v>1</v>
      </c>
      <c r="I156" s="30">
        <v>1</v>
      </c>
      <c r="J156" s="23" t="s">
        <v>213</v>
      </c>
      <c r="K156" s="19" t="s">
        <v>294</v>
      </c>
    </row>
    <row r="157" spans="7:11" x14ac:dyDescent="0.25">
      <c r="G157" s="20" t="s">
        <v>165</v>
      </c>
      <c r="H157" s="34">
        <v>1</v>
      </c>
      <c r="I157" s="30">
        <v>1</v>
      </c>
      <c r="J157" s="23" t="s">
        <v>213</v>
      </c>
      <c r="K157" s="19" t="s">
        <v>295</v>
      </c>
    </row>
    <row r="158" spans="7:11" x14ac:dyDescent="0.25">
      <c r="G158" s="20" t="s">
        <v>166</v>
      </c>
      <c r="H158" s="34">
        <v>1</v>
      </c>
      <c r="I158" s="30">
        <v>1</v>
      </c>
      <c r="J158" s="23" t="s">
        <v>213</v>
      </c>
      <c r="K158" s="19" t="s">
        <v>296</v>
      </c>
    </row>
    <row r="159" spans="7:11" x14ac:dyDescent="0.25">
      <c r="G159" s="20" t="s">
        <v>167</v>
      </c>
      <c r="H159" s="34">
        <v>1</v>
      </c>
      <c r="I159" s="30">
        <v>1</v>
      </c>
      <c r="J159" s="23" t="s">
        <v>213</v>
      </c>
      <c r="K159" s="19" t="s">
        <v>297</v>
      </c>
    </row>
    <row r="160" spans="7:11" x14ac:dyDescent="0.25">
      <c r="G160" s="20" t="s">
        <v>168</v>
      </c>
      <c r="H160" s="34">
        <v>1</v>
      </c>
      <c r="I160" s="30" t="s">
        <v>208</v>
      </c>
      <c r="J160" s="23" t="s">
        <v>213</v>
      </c>
      <c r="K160" s="19" t="s">
        <v>298</v>
      </c>
    </row>
    <row r="161" spans="7:11" x14ac:dyDescent="0.25">
      <c r="G161" s="20" t="s">
        <v>169</v>
      </c>
      <c r="H161" s="34">
        <v>1</v>
      </c>
      <c r="I161" s="30" t="s">
        <v>208</v>
      </c>
      <c r="J161" s="23" t="s">
        <v>213</v>
      </c>
      <c r="K161" s="19" t="s">
        <v>299</v>
      </c>
    </row>
    <row r="162" spans="7:11" x14ac:dyDescent="0.25">
      <c r="G162" s="20" t="s">
        <v>170</v>
      </c>
      <c r="H162" s="34">
        <v>1</v>
      </c>
      <c r="I162" s="30" t="s">
        <v>208</v>
      </c>
      <c r="J162" s="23" t="s">
        <v>213</v>
      </c>
      <c r="K162" s="19" t="s">
        <v>300</v>
      </c>
    </row>
    <row r="163" spans="7:11" x14ac:dyDescent="0.25">
      <c r="G163" s="20" t="s">
        <v>171</v>
      </c>
      <c r="H163" s="34">
        <v>1</v>
      </c>
      <c r="I163" s="30" t="s">
        <v>208</v>
      </c>
      <c r="J163" s="23" t="s">
        <v>213</v>
      </c>
      <c r="K163" s="19" t="s">
        <v>301</v>
      </c>
    </row>
    <row r="164" spans="7:11" x14ac:dyDescent="0.25">
      <c r="G164" s="20" t="s">
        <v>172</v>
      </c>
      <c r="H164" s="34">
        <v>1</v>
      </c>
      <c r="I164" s="30" t="s">
        <v>208</v>
      </c>
      <c r="J164" s="23" t="s">
        <v>213</v>
      </c>
      <c r="K164" s="19" t="s">
        <v>302</v>
      </c>
    </row>
    <row r="165" spans="7:11" x14ac:dyDescent="0.25">
      <c r="G165" s="20" t="s">
        <v>173</v>
      </c>
      <c r="H165" s="34">
        <v>1</v>
      </c>
      <c r="I165" s="30" t="s">
        <v>208</v>
      </c>
      <c r="J165" s="23" t="s">
        <v>213</v>
      </c>
      <c r="K165" s="19" t="s">
        <v>303</v>
      </c>
    </row>
    <row r="166" spans="7:11" x14ac:dyDescent="0.25">
      <c r="G166" s="20" t="s">
        <v>174</v>
      </c>
      <c r="H166" s="34">
        <v>1</v>
      </c>
      <c r="I166" s="30">
        <v>1</v>
      </c>
      <c r="J166" s="23" t="s">
        <v>215</v>
      </c>
      <c r="K166" s="19" t="s">
        <v>304</v>
      </c>
    </row>
    <row r="167" spans="7:11" x14ac:dyDescent="0.25">
      <c r="G167" s="20" t="s">
        <v>175</v>
      </c>
      <c r="H167" s="34">
        <v>1</v>
      </c>
      <c r="I167" s="30">
        <v>1</v>
      </c>
      <c r="J167" s="23" t="s">
        <v>213</v>
      </c>
      <c r="K167" s="19" t="s">
        <v>305</v>
      </c>
    </row>
    <row r="168" spans="7:11" x14ac:dyDescent="0.25">
      <c r="G168" s="20" t="s">
        <v>176</v>
      </c>
      <c r="H168" s="34">
        <v>1</v>
      </c>
      <c r="I168" s="30">
        <v>1</v>
      </c>
      <c r="J168" s="23" t="s">
        <v>213</v>
      </c>
      <c r="K168" s="19" t="s">
        <v>306</v>
      </c>
    </row>
    <row r="169" spans="7:11" x14ac:dyDescent="0.25">
      <c r="G169" s="20" t="s">
        <v>177</v>
      </c>
      <c r="H169" s="34">
        <v>1</v>
      </c>
      <c r="I169" s="30">
        <v>1</v>
      </c>
      <c r="J169" s="23" t="s">
        <v>213</v>
      </c>
      <c r="K169" s="19" t="s">
        <v>307</v>
      </c>
    </row>
    <row r="170" spans="7:11" x14ac:dyDescent="0.25">
      <c r="G170" s="20" t="s">
        <v>178</v>
      </c>
      <c r="H170" s="34">
        <v>1</v>
      </c>
      <c r="I170" s="30" t="s">
        <v>207</v>
      </c>
      <c r="J170" s="23" t="s">
        <v>213</v>
      </c>
      <c r="K170" s="19" t="s">
        <v>308</v>
      </c>
    </row>
    <row r="171" spans="7:11" x14ac:dyDescent="0.25">
      <c r="G171" s="20" t="s">
        <v>179</v>
      </c>
      <c r="H171" s="34">
        <v>1</v>
      </c>
      <c r="I171" s="30">
        <v>1</v>
      </c>
      <c r="J171" s="23" t="s">
        <v>212</v>
      </c>
      <c r="K171" s="19" t="s">
        <v>309</v>
      </c>
    </row>
    <row r="172" spans="7:11" x14ac:dyDescent="0.25">
      <c r="G172" s="20" t="s">
        <v>180</v>
      </c>
      <c r="H172" s="34">
        <v>1</v>
      </c>
      <c r="I172" s="30" t="s">
        <v>207</v>
      </c>
      <c r="J172" s="23" t="s">
        <v>212</v>
      </c>
      <c r="K172" s="19" t="s">
        <v>310</v>
      </c>
    </row>
    <row r="173" spans="7:11" x14ac:dyDescent="0.25">
      <c r="G173" s="20" t="s">
        <v>181</v>
      </c>
      <c r="H173" s="34">
        <v>1</v>
      </c>
      <c r="I173" s="30">
        <v>1</v>
      </c>
      <c r="J173" s="23" t="s">
        <v>212</v>
      </c>
      <c r="K173" s="19" t="s">
        <v>311</v>
      </c>
    </row>
    <row r="174" spans="7:11" x14ac:dyDescent="0.25">
      <c r="G174" s="20" t="s">
        <v>182</v>
      </c>
      <c r="H174" s="34">
        <v>1</v>
      </c>
      <c r="I174" s="30" t="s">
        <v>207</v>
      </c>
      <c r="J174" s="23" t="s">
        <v>213</v>
      </c>
      <c r="K174" s="19" t="s">
        <v>312</v>
      </c>
    </row>
    <row r="175" spans="7:11" x14ac:dyDescent="0.25">
      <c r="G175" s="20" t="s">
        <v>183</v>
      </c>
      <c r="H175" s="34">
        <v>1</v>
      </c>
      <c r="I175" s="30">
        <v>1</v>
      </c>
      <c r="J175" s="23" t="s">
        <v>218</v>
      </c>
      <c r="K175" s="19" t="s">
        <v>313</v>
      </c>
    </row>
    <row r="176" spans="7:11" x14ac:dyDescent="0.25">
      <c r="G176" s="20" t="s">
        <v>184</v>
      </c>
      <c r="H176" s="34">
        <v>1</v>
      </c>
      <c r="I176" s="30">
        <v>1</v>
      </c>
      <c r="J176" s="23" t="s">
        <v>216</v>
      </c>
      <c r="K176" s="19" t="s">
        <v>314</v>
      </c>
    </row>
    <row r="177" spans="7:11" x14ac:dyDescent="0.25">
      <c r="G177" s="20" t="s">
        <v>185</v>
      </c>
      <c r="H177" s="34">
        <v>1</v>
      </c>
      <c r="I177" s="30">
        <v>1</v>
      </c>
      <c r="J177" s="23" t="s">
        <v>216</v>
      </c>
      <c r="K177" s="19" t="s">
        <v>315</v>
      </c>
    </row>
    <row r="178" spans="7:11" x14ac:dyDescent="0.25">
      <c r="G178" s="20" t="s">
        <v>186</v>
      </c>
      <c r="H178" s="34">
        <v>1</v>
      </c>
      <c r="I178" s="30">
        <v>1</v>
      </c>
      <c r="J178" s="23" t="s">
        <v>216</v>
      </c>
      <c r="K178" s="19" t="s">
        <v>316</v>
      </c>
    </row>
    <row r="179" spans="7:11" x14ac:dyDescent="0.25">
      <c r="G179" s="20" t="s">
        <v>187</v>
      </c>
      <c r="H179" s="34">
        <v>5</v>
      </c>
      <c r="I179" s="30">
        <v>1</v>
      </c>
      <c r="J179" s="23" t="s">
        <v>215</v>
      </c>
      <c r="K179" s="19" t="s">
        <v>317</v>
      </c>
    </row>
    <row r="180" spans="7:11" x14ac:dyDescent="0.25">
      <c r="G180" s="20" t="s">
        <v>188</v>
      </c>
      <c r="H180" s="34">
        <v>5</v>
      </c>
      <c r="I180" s="30">
        <v>1</v>
      </c>
      <c r="J180" s="23" t="s">
        <v>213</v>
      </c>
      <c r="K180" s="19" t="s">
        <v>318</v>
      </c>
    </row>
    <row r="181" spans="7:11" x14ac:dyDescent="0.25">
      <c r="G181" s="20" t="s">
        <v>189</v>
      </c>
      <c r="H181" s="34">
        <v>5</v>
      </c>
      <c r="I181" s="30">
        <v>1</v>
      </c>
      <c r="J181" s="23" t="s">
        <v>213</v>
      </c>
      <c r="K181" s="19" t="s">
        <v>319</v>
      </c>
    </row>
    <row r="182" spans="7:11" x14ac:dyDescent="0.25">
      <c r="G182" s="20" t="s">
        <v>190</v>
      </c>
      <c r="H182" s="34">
        <v>5</v>
      </c>
      <c r="I182" s="30">
        <v>1</v>
      </c>
      <c r="J182" s="23" t="s">
        <v>213</v>
      </c>
      <c r="K182" s="19" t="s">
        <v>319</v>
      </c>
    </row>
    <row r="183" spans="7:11" x14ac:dyDescent="0.25">
      <c r="G183" s="20" t="s">
        <v>191</v>
      </c>
      <c r="H183" s="34">
        <v>5</v>
      </c>
      <c r="I183" s="30">
        <v>1</v>
      </c>
      <c r="J183" s="23" t="s">
        <v>215</v>
      </c>
      <c r="K183" s="19" t="s">
        <v>317</v>
      </c>
    </row>
    <row r="184" spans="7:11" x14ac:dyDescent="0.25">
      <c r="G184" s="20" t="s">
        <v>192</v>
      </c>
      <c r="H184" s="34">
        <v>5</v>
      </c>
      <c r="I184" s="30">
        <v>1</v>
      </c>
      <c r="J184" s="23" t="s">
        <v>213</v>
      </c>
      <c r="K184" s="19" t="s">
        <v>319</v>
      </c>
    </row>
    <row r="185" spans="7:11" x14ac:dyDescent="0.25">
      <c r="G185" s="20" t="s">
        <v>193</v>
      </c>
      <c r="H185" s="34">
        <v>5</v>
      </c>
      <c r="I185" s="30">
        <v>1</v>
      </c>
      <c r="J185" s="23" t="s">
        <v>213</v>
      </c>
      <c r="K185" s="19" t="s">
        <v>320</v>
      </c>
    </row>
    <row r="186" spans="7:11" x14ac:dyDescent="0.25">
      <c r="G186" s="20" t="s">
        <v>194</v>
      </c>
      <c r="H186" s="34">
        <v>5</v>
      </c>
      <c r="I186" s="30">
        <v>1</v>
      </c>
      <c r="J186" s="23" t="s">
        <v>213</v>
      </c>
      <c r="K186" s="19" t="s">
        <v>319</v>
      </c>
    </row>
    <row r="187" spans="7:11" x14ac:dyDescent="0.25">
      <c r="G187" s="20" t="s">
        <v>195</v>
      </c>
      <c r="H187" s="34">
        <v>5</v>
      </c>
      <c r="I187" s="30">
        <v>1</v>
      </c>
      <c r="J187" s="23" t="s">
        <v>215</v>
      </c>
      <c r="K187" s="19" t="s">
        <v>317</v>
      </c>
    </row>
    <row r="188" spans="7:11" x14ac:dyDescent="0.25">
      <c r="G188" s="20" t="s">
        <v>196</v>
      </c>
      <c r="H188" s="34">
        <v>5</v>
      </c>
      <c r="I188" s="30">
        <v>1</v>
      </c>
      <c r="J188" s="23" t="s">
        <v>213</v>
      </c>
      <c r="K188" s="19" t="s">
        <v>319</v>
      </c>
    </row>
    <row r="189" spans="7:11" x14ac:dyDescent="0.25">
      <c r="G189" s="20" t="s">
        <v>197</v>
      </c>
      <c r="H189" s="34">
        <v>5</v>
      </c>
      <c r="I189" s="30">
        <v>1</v>
      </c>
      <c r="J189" s="23" t="s">
        <v>213</v>
      </c>
      <c r="K189" s="19" t="s">
        <v>319</v>
      </c>
    </row>
    <row r="190" spans="7:11" x14ac:dyDescent="0.25">
      <c r="G190" s="20" t="s">
        <v>198</v>
      </c>
      <c r="H190" s="34">
        <v>5</v>
      </c>
      <c r="I190" s="30">
        <v>1</v>
      </c>
      <c r="J190" s="23" t="s">
        <v>213</v>
      </c>
      <c r="K190" s="19" t="s">
        <v>319</v>
      </c>
    </row>
    <row r="191" spans="7:11" x14ac:dyDescent="0.25">
      <c r="G191" s="20" t="s">
        <v>199</v>
      </c>
      <c r="H191" s="34">
        <v>2</v>
      </c>
      <c r="I191" s="30">
        <v>1</v>
      </c>
      <c r="J191" s="23" t="s">
        <v>215</v>
      </c>
      <c r="K191" s="19" t="s">
        <v>321</v>
      </c>
    </row>
    <row r="192" spans="7:11" x14ac:dyDescent="0.25">
      <c r="G192" s="20" t="s">
        <v>200</v>
      </c>
      <c r="H192" s="34">
        <v>2</v>
      </c>
      <c r="I192" s="30">
        <v>1</v>
      </c>
      <c r="J192" s="23" t="s">
        <v>215</v>
      </c>
      <c r="K192" s="19" t="s">
        <v>321</v>
      </c>
    </row>
    <row r="193" spans="7:11" x14ac:dyDescent="0.25">
      <c r="G193" s="20" t="s">
        <v>201</v>
      </c>
      <c r="H193" s="34">
        <v>2</v>
      </c>
      <c r="I193" s="30">
        <v>1</v>
      </c>
      <c r="J193" s="23" t="s">
        <v>215</v>
      </c>
      <c r="K193" s="19" t="s">
        <v>321</v>
      </c>
    </row>
    <row r="194" spans="7:11" x14ac:dyDescent="0.25">
      <c r="G194" s="20" t="s">
        <v>202</v>
      </c>
      <c r="H194" s="34">
        <v>2</v>
      </c>
      <c r="I194" s="30">
        <v>1</v>
      </c>
      <c r="J194" s="23" t="s">
        <v>215</v>
      </c>
      <c r="K194" s="19" t="s">
        <v>322</v>
      </c>
    </row>
    <row r="195" spans="7:11" x14ac:dyDescent="0.25">
      <c r="G195" s="20" t="s">
        <v>203</v>
      </c>
      <c r="H195" s="34">
        <v>2</v>
      </c>
      <c r="I195" s="30">
        <v>1</v>
      </c>
      <c r="J195" s="23" t="s">
        <v>215</v>
      </c>
      <c r="K195" s="19" t="s">
        <v>323</v>
      </c>
    </row>
    <row r="196" spans="7:11" x14ac:dyDescent="0.25">
      <c r="G196" s="20" t="s">
        <v>204</v>
      </c>
      <c r="H196" s="34">
        <v>2</v>
      </c>
      <c r="I196" s="30">
        <v>1</v>
      </c>
      <c r="J196" s="23" t="s">
        <v>215</v>
      </c>
      <c r="K196" s="19" t="s">
        <v>324</v>
      </c>
    </row>
    <row r="197" spans="7:11" ht="15.75" thickBot="1" x14ac:dyDescent="0.3">
      <c r="G197" s="2" t="s">
        <v>205</v>
      </c>
      <c r="H197" s="35">
        <v>1</v>
      </c>
      <c r="I197" s="31">
        <v>1</v>
      </c>
      <c r="J197" s="6" t="s">
        <v>212</v>
      </c>
      <c r="K197" s="21" t="s">
        <v>233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c0489a-fc8c-4c0f-b981-b10463d2834b}" enabled="1" method="Privileged" siteId="{03b86c3a-8954-4d19-9522-e464fe9f22c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Selection</vt:lpstr>
      <vt:lpstr>Library</vt:lpstr>
    </vt:vector>
  </TitlesOfParts>
  <Company>Ball Aerospace &amp; Technologies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Hughes, Conner N (US)</dc:creator>
  <cp:lastModifiedBy>Hughes, Conner N (US)</cp:lastModifiedBy>
  <dcterms:created xsi:type="dcterms:W3CDTF">2026-08-12T13:22:24Z</dcterms:created>
  <dcterms:modified xsi:type="dcterms:W3CDTF">2026-08-12T18:03:44Z</dcterms:modified>
</cp:coreProperties>
</file>