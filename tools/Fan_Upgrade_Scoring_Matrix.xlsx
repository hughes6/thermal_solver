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6c640e112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n Comparison" sheetId="1" r:id="R3da7f4525b97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%"/>
    <x:numFmt numFmtId="202" formatCode="0.000000"/>
    <x:numFmt numFmtId="203" formatCode="0.000"/>
    <x:numFmt numFmtId="204" formatCode="0.0"/>
    <x:numFmt numFmtId="205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200" fontId="0" fillId="7" borderId="0" xfId="0" applyNumberFormat="1" applyFont="1" applyFill="1" applyBorder="1"/>
    <x:xf numFmtId="200" fontId="0" fillId="8" borderId="0" xfId="0" applyNumberFormat="1" applyFont="1" applyFill="1" applyBorder="1"/>
    <x:xf numFmtId="200" fontId="0" fillId="7" borderId="1" xfId="0" applyNumberFormat="1" applyFont="1" applyFill="1" applyBorder="1"/>
    <x:xf numFmtId="200" fontId="0" fillId="8" borderId="1" xfId="0" applyNumberFormat="1" applyFont="1" applyFill="1" applyBorder="1"/>
    <x:xf numFmtId="203" fontId="0" fillId="8" borderId="0" xfId="0" applyNumberFormat="1" applyFont="1" applyFill="1" applyBorder="1"/>
    <x:xf numFmtId="203" fontId="0" fillId="8" borderId="1" xfId="0" applyNumberFormat="1" applyFont="1" applyFill="1" applyBorder="1"/>
    <x:xf numFmtId="204" fontId="0" fillId="8" borderId="0" xfId="0" applyNumberFormat="1" applyFont="1" applyFill="1" applyBorder="1"/>
    <x:xf numFmtId="204" fontId="0" fillId="8" borderId="1" xfId="0" applyNumberFormat="1" applyFont="1" applyFill="1" applyBorder="1"/>
    <x:xf numFmtId="205" fontId="0" fillId="8" borderId="0" xfId="0" applyNumberFormat="1" applyFont="1" applyFill="1" applyBorder="1"/>
    <x:xf numFmtId="205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1598b73c7450c" /><Relationship Type="http://schemas.openxmlformats.org/officeDocument/2006/relationships/theme" Target="/xl/theme/theme1.xml" Id="Ra9c0e149dcf541d4" /><Relationship Type="http://schemas.openxmlformats.org/officeDocument/2006/relationships/sharedStrings" Target="/xl/sharedStrings.xml" Id="R6b85ecb8537f4e73" /><Relationship Type="http://schemas.openxmlformats.org/officeDocument/2006/relationships/worksheet" Target="/xl/worksheets/sheet1.xml" Id="R3da7f4525b974e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87b0439bcd46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Fan Score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Overall Score</c:v>
          </c:tx>
          <c:cat>
            <c:strRef>
              <c:f>'Fan Comparison'!$A$13:$A$32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'Fan Comparison'!$N$13:$N$32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3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87b0439bcd46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nComparisonTable" displayName="FanComparisonTable" ref="A12:P32" headerRowCount="1">
  <x:tableColumns count="16">
    <x:tableColumn id="1" name="Fan"/>
    <x:tableColumn id="2" name="A"/>
    <x:tableColumn id="3" name="B"/>
    <x:tableColumn id="4" name="C"/>
    <x:tableColumn id="5" name="Rated Max CFM"/>
    <x:tableColumn id="6" name="Max Static Pressure&#10;(in H₂O)"/>
    <x:tableColumn id="7" name="Noise&#10;(dBA)"/>
    <x:tableColumn id="8" name="Power&#10;(W)"/>
    <x:tableColumn id="9" name="CFM @ Target Pressure"/>
    <x:tableColumn id="10" name="Airflow Score"/>
    <x:tableColumn id="11" name="Pressure Score"/>
    <x:tableColumn id="12" name="Noise Score"/>
    <x:tableColumn id="13" name="Power Score"/>
    <x:tableColumn id="14" name="Overall Score"/>
    <x:tableColumn id="15" name="Rank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7bb1919e204331" /><Relationship Type="http://schemas.openxmlformats.org/officeDocument/2006/relationships/table" Target="/xl/tables/table1.xml" Id="Rf4ad1f14e897465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20" hidden="0" customWidth="1"/>
    <x:col min="7" max="7" width="12" hidden="0" customWidth="1"/>
    <x:col min="8" max="8" width="11" hidden="0" customWidth="1"/>
    <x:col min="9" max="9" width="20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5" hidden="0" customWidth="1"/>
    <x:col min="15" max="15" width="9" hidden="0" customWidth="1"/>
    <x:col min="16" max="16" width="30" hidden="0" customWidth="1"/>
  </x:cols>
  <x:sheetData>
    <x:row r="1" ht="28" customHeight="1">
      <x:c r="A1" s="5" t="str">
        <x:v>Fan Upgrade Scoring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2" customHeight="1">
      <x:c r="A2" s="12" t="str">
        <x:v>Enter fan data in the blue input columns. Fan curve assumed: Pressure (in H₂O) = A·Q² + B·Q + C, where Q is CFM.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>
      <x:c r="A4" s="17" t="str">
        <x:v>Scoring Settings</x:v>
      </x:c>
      <x:c r="B4" s="17" t="str">
        <x:v>Value</x:v>
      </x:c>
    </x:row>
    <x:row r="5">
      <x:c r="A5" s="60" t="str">
        <x:v>Target Chassis Pressure (in H₂O)</x:v>
      </x:c>
      <x:c r="B5" s="22" t="n">
        <x:v>0.5</x:v>
      </x:c>
    </x:row>
    <x:row r="6">
      <x:c r="A6" s="60" t="str">
        <x:v>Airflow Weight</x:v>
      </x:c>
      <x:c r="B6" s="24" t="n">
        <x:v>0.4</x:v>
      </x:c>
    </x:row>
    <x:row r="7">
      <x:c r="A7" s="60" t="str">
        <x:v>Pressure Weight</x:v>
      </x:c>
      <x:c r="B7" s="24" t="n">
        <x:v>0.3</x:v>
      </x:c>
    </x:row>
    <x:row r="8">
      <x:c r="A8" s="60" t="str">
        <x:v>Noise Weight</x:v>
      </x:c>
      <x:c r="B8" s="24" t="n">
        <x:v>0.2</x:v>
      </x:c>
    </x:row>
    <x:row r="9">
      <x:c r="A9" s="60" t="str">
        <x:v>Power Weight</x:v>
      </x:c>
      <x:c r="B9" s="24" t="n">
        <x:v>0.1</x:v>
      </x:c>
    </x:row>
    <x:row r="12" ht="38" customHeight="1">
      <x:c r="A12" s="30" t="str">
        <x:v>Fan</x:v>
      </x:c>
      <x:c r="B12" s="30" t="str">
        <x:v>A</x:v>
      </x:c>
      <x:c r="C12" s="30" t="str">
        <x:v>B</x:v>
      </x:c>
      <x:c r="D12" s="30" t="str">
        <x:v>C</x:v>
      </x:c>
      <x:c r="E12" s="30" t="str">
        <x:v>Rated Max CFM</x:v>
      </x:c>
      <x:c r="F12" s="30" t="str">
        <x:v>Max Static Pressure
(in H₂O)</x:v>
      </x:c>
      <x:c r="G12" s="30" t="str">
        <x:v>Noise
(dBA)</x:v>
      </x:c>
      <x:c r="H12" s="30" t="str">
        <x:v>Power
(W)</x:v>
      </x:c>
      <x:c r="I12" s="30" t="str">
        <x:v>CFM @ Target Pressure</x:v>
      </x:c>
      <x:c r="J12" s="30" t="str">
        <x:v>Airflow Score</x:v>
      </x:c>
      <x:c r="K12" s="30" t="str">
        <x:v>Pressure Score</x:v>
      </x:c>
      <x:c r="L12" s="30" t="str">
        <x:v>Noise Score</x:v>
      </x:c>
      <x:c r="M12" s="30" t="str">
        <x:v>Power Score</x:v>
      </x:c>
      <x:c r="N12" s="30" t="str">
        <x:v>Overall Score</x:v>
      </x:c>
      <x:c r="O12" s="30" t="str">
        <x:v>Rank</x:v>
      </x:c>
      <x:c r="P12" s="30" t="str">
        <x:v>Notes</x:v>
      </x:c>
    </x:row>
    <x:row r="13">
      <x:c r="A13" s="36" t="str">
        <x:v>Example Fan</x:v>
      </x:c>
      <x:c r="B13" s="40" t="n">
        <x:v>-0.00001646</x:v>
      </x:c>
      <x:c r="C13" s="40" t="n">
        <x:v>0</x:v>
      </x:c>
      <x:c r="D13" s="40" t="n">
        <x:v>1.2</x:v>
      </x:c>
      <x:c r="E13" s="42" t="n">
        <x:v>270</x:v>
      </x:c>
      <x:c r="F13" s="42" t="n">
        <x:v>1.2</x:v>
      </x:c>
      <x:c r="G13" s="42" t="n">
        <x:v>65</x:v>
      </x:c>
      <x:c r="H13" s="42" t="n">
        <x:v>24</x:v>
      </x:c>
      <x:c r="I13" s="43" t="n">
        <x:f>IF(A13="","",IFERROR(MAX(0,MIN(E13,(-B13-SQRT(B13^2-4*A13*(C13-$B$5)))/(2*A13))),E13))</x:f>
        <x:v>270</x:v>
      </x:c>
      <x:c r="J13" s="46" t="n">
        <x:f>IFERROR(I13/MAX($I$13:$I$32),0)</x:f>
        <x:v>1</x:v>
      </x:c>
      <x:c r="K13" s="46" t="n">
        <x:f>IFERROR(F13/MAX($F$13:$F$32),0)</x:f>
        <x:v>1</x:v>
      </x:c>
      <x:c r="L13" s="46" t="n">
        <x:f>IFERROR(MIN($G$13:$G$32)/G13,0)</x:f>
        <x:v>1</x:v>
      </x:c>
      <x:c r="M13" s="46" t="n">
        <x:f>IFERROR(MIN($H$13:$H$32)/H13,0)</x:f>
        <x:v>1</x:v>
      </x:c>
      <x:c r="N13" s="48" t="n">
        <x:f>IF(A13="","",100*(J13*$B$6+K13*$B$7+L13*$B$8+M13*$B$9))</x:f>
        <x:v>99.99999999999999</x:v>
      </x:c>
      <x:c r="O13" s="50" t="n">
        <x:f>IF(N13="","",1+COUNTIF($N$13:$N$32,"&gt;"&amp;N13))</x:f>
        <x:v>1</x:v>
      </x:c>
      <x:c r="P13" s="36" t="str">
        <x:v>Replace with actual manufacturer data</x:v>
      </x:c>
    </x:row>
    <x:row r="14">
      <x:c r="A14" s="36"/>
      <x:c r="B14" s="40"/>
      <x:c r="C14" s="40"/>
      <x:c r="D14" s="40"/>
      <x:c r="E14" s="42"/>
      <x:c r="F14" s="42"/>
      <x:c r="G14" s="42"/>
      <x:c r="H14" s="42"/>
      <x:c r="I14" s="43" t="str">
        <x:f>IF(A14="","",IFERROR(MAX(0,MIN(E14,(-B14-SQRT(B14^2-4*A14*(C14-$B$5)))/(2*A14))),E14))</x:f>
      </x:c>
      <x:c r="J14" s="46" t="n">
        <x:f>IFERROR(I14/MAX($I$13:$I$32),0)</x:f>
        <x:v>0</x:v>
      </x:c>
      <x:c r="K14" s="46" t="n">
        <x:f>IFERROR(F14/MAX($F$13:$F$32),0)</x:f>
        <x:v>0</x:v>
      </x:c>
      <x:c r="L14" s="46" t="n">
        <x:f>IFERROR(MIN($G$13:$G$32)/G14,0)</x:f>
        <x:v>0</x:v>
      </x:c>
      <x:c r="M14" s="46" t="n">
        <x:f>IFERROR(MIN($H$13:$H$32)/H14,0)</x:f>
        <x:v>0</x:v>
      </x:c>
      <x:c r="N14" s="48" t="str">
        <x:f>IF(A14="","",100*(J14*$B$6+K14*$B$7+L14*$B$8+M14*$B$9))</x:f>
      </x:c>
      <x:c r="O14" s="50" t="str">
        <x:f>IF(N14="","",1+COUNTIF($N$13:$N$32,"&gt;"&amp;N14))</x:f>
      </x:c>
      <x:c r="P14" s="36"/>
    </x:row>
    <x:row r="15">
      <x:c r="A15" s="36"/>
      <x:c r="B15" s="40"/>
      <x:c r="C15" s="40"/>
      <x:c r="D15" s="40"/>
      <x:c r="E15" s="42"/>
      <x:c r="F15" s="42"/>
      <x:c r="G15" s="42"/>
      <x:c r="H15" s="42"/>
      <x:c r="I15" s="43" t="str">
        <x:f>IF(A15="","",IFERROR(MAX(0,MIN(E15,(-B15-SQRT(B15^2-4*A15*(C15-$B$5)))/(2*A15))),E15))</x:f>
      </x:c>
      <x:c r="J15" s="46" t="n">
        <x:f>IFERROR(I15/MAX($I$13:$I$32),0)</x:f>
        <x:v>0</x:v>
      </x:c>
      <x:c r="K15" s="46" t="n">
        <x:f>IFERROR(F15/MAX($F$13:$F$32),0)</x:f>
        <x:v>0</x:v>
      </x:c>
      <x:c r="L15" s="46" t="n">
        <x:f>IFERROR(MIN($G$13:$G$32)/G15,0)</x:f>
        <x:v>0</x:v>
      </x:c>
      <x:c r="M15" s="46" t="n">
        <x:f>IFERROR(MIN($H$13:$H$32)/H15,0)</x:f>
        <x:v>0</x:v>
      </x:c>
      <x:c r="N15" s="48" t="str">
        <x:f>IF(A15="","",100*(J15*$B$6+K15*$B$7+L15*$B$8+M15*$B$9))</x:f>
      </x:c>
      <x:c r="O15" s="50" t="str">
        <x:f>IF(N15="","",1+COUNTIF($N$13:$N$32,"&gt;"&amp;N15))</x:f>
      </x:c>
      <x:c r="P15" s="36"/>
    </x:row>
    <x:row r="16">
      <x:c r="A16" s="36"/>
      <x:c r="B16" s="40"/>
      <x:c r="C16" s="40"/>
      <x:c r="D16" s="40"/>
      <x:c r="E16" s="42"/>
      <x:c r="F16" s="42"/>
      <x:c r="G16" s="42"/>
      <x:c r="H16" s="42"/>
      <x:c r="I16" s="43" t="str">
        <x:f>IF(A16="","",IFERROR(MAX(0,MIN(E16,(-B16-SQRT(B16^2-4*A16*(C16-$B$5)))/(2*A16))),E16))</x:f>
      </x:c>
      <x:c r="J16" s="46" t="n">
        <x:f>IFERROR(I16/MAX($I$13:$I$32),0)</x:f>
        <x:v>0</x:v>
      </x:c>
      <x:c r="K16" s="46" t="n">
        <x:f>IFERROR(F16/MAX($F$13:$F$32),0)</x:f>
        <x:v>0</x:v>
      </x:c>
      <x:c r="L16" s="46" t="n">
        <x:f>IFERROR(MIN($G$13:$G$32)/G16,0)</x:f>
        <x:v>0</x:v>
      </x:c>
      <x:c r="M16" s="46" t="n">
        <x:f>IFERROR(MIN($H$13:$H$32)/H16,0)</x:f>
        <x:v>0</x:v>
      </x:c>
      <x:c r="N16" s="48" t="str">
        <x:f>IF(A16="","",100*(J16*$B$6+K16*$B$7+L16*$B$8+M16*$B$9))</x:f>
      </x:c>
      <x:c r="O16" s="50" t="str">
        <x:f>IF(N16="","",1+COUNTIF($N$13:$N$32,"&gt;"&amp;N16))</x:f>
      </x:c>
      <x:c r="P16" s="36"/>
    </x:row>
    <x:row r="17">
      <x:c r="A17" s="36"/>
      <x:c r="B17" s="40"/>
      <x:c r="C17" s="40"/>
      <x:c r="D17" s="40"/>
      <x:c r="E17" s="42"/>
      <x:c r="F17" s="42"/>
      <x:c r="G17" s="42"/>
      <x:c r="H17" s="42"/>
      <x:c r="I17" s="43" t="str">
        <x:f>IF(A17="","",IFERROR(MAX(0,MIN(E17,(-B17-SQRT(B17^2-4*A17*(C17-$B$5)))/(2*A17))),E17))</x:f>
      </x:c>
      <x:c r="J17" s="46" t="n">
        <x:f>IFERROR(I17/MAX($I$13:$I$32),0)</x:f>
        <x:v>0</x:v>
      </x:c>
      <x:c r="K17" s="46" t="n">
        <x:f>IFERROR(F17/MAX($F$13:$F$32),0)</x:f>
        <x:v>0</x:v>
      </x:c>
      <x:c r="L17" s="46" t="n">
        <x:f>IFERROR(MIN($G$13:$G$32)/G17,0)</x:f>
        <x:v>0</x:v>
      </x:c>
      <x:c r="M17" s="46" t="n">
        <x:f>IFERROR(MIN($H$13:$H$32)/H17,0)</x:f>
        <x:v>0</x:v>
      </x:c>
      <x:c r="N17" s="48" t="str">
        <x:f>IF(A17="","",100*(J17*$B$6+K17*$B$7+L17*$B$8+M17*$B$9))</x:f>
      </x:c>
      <x:c r="O17" s="50" t="str">
        <x:f>IF(N17="","",1+COUNTIF($N$13:$N$32,"&gt;"&amp;N17))</x:f>
      </x:c>
      <x:c r="P17" s="36"/>
    </x:row>
    <x:row r="18">
      <x:c r="A18" s="36"/>
      <x:c r="B18" s="40"/>
      <x:c r="C18" s="40"/>
      <x:c r="D18" s="40"/>
      <x:c r="E18" s="42"/>
      <x:c r="F18" s="42"/>
      <x:c r="G18" s="42"/>
      <x:c r="H18" s="42"/>
      <x:c r="I18" s="43" t="str">
        <x:f>IF(A18="","",IFERROR(MAX(0,MIN(E18,(-B18-SQRT(B18^2-4*A18*(C18-$B$5)))/(2*A18))),E18))</x:f>
      </x:c>
      <x:c r="J18" s="46" t="n">
        <x:f>IFERROR(I18/MAX($I$13:$I$32),0)</x:f>
        <x:v>0</x:v>
      </x:c>
      <x:c r="K18" s="46" t="n">
        <x:f>IFERROR(F18/MAX($F$13:$F$32),0)</x:f>
        <x:v>0</x:v>
      </x:c>
      <x:c r="L18" s="46" t="n">
        <x:f>IFERROR(MIN($G$13:$G$32)/G18,0)</x:f>
        <x:v>0</x:v>
      </x:c>
      <x:c r="M18" s="46" t="n">
        <x:f>IFERROR(MIN($H$13:$H$32)/H18,0)</x:f>
        <x:v>0</x:v>
      </x:c>
      <x:c r="N18" s="48" t="str">
        <x:f>IF(A18="","",100*(J18*$B$6+K18*$B$7+L18*$B$8+M18*$B$9))</x:f>
      </x:c>
      <x:c r="O18" s="50" t="str">
        <x:f>IF(N18="","",1+COUNTIF($N$13:$N$32,"&gt;"&amp;N18))</x:f>
      </x:c>
      <x:c r="P18" s="36"/>
    </x:row>
    <x:row r="19">
      <x:c r="A19" s="36"/>
      <x:c r="B19" s="40"/>
      <x:c r="C19" s="40"/>
      <x:c r="D19" s="40"/>
      <x:c r="E19" s="42"/>
      <x:c r="F19" s="42"/>
      <x:c r="G19" s="42"/>
      <x:c r="H19" s="42"/>
      <x:c r="I19" s="43" t="str">
        <x:f>IF(A19="","",IFERROR(MAX(0,MIN(E19,(-B19-SQRT(B19^2-4*A19*(C19-$B$5)))/(2*A19))),E19))</x:f>
      </x:c>
      <x:c r="J19" s="46" t="n">
        <x:f>IFERROR(I19/MAX($I$13:$I$32),0)</x:f>
        <x:v>0</x:v>
      </x:c>
      <x:c r="K19" s="46" t="n">
        <x:f>IFERROR(F19/MAX($F$13:$F$32),0)</x:f>
        <x:v>0</x:v>
      </x:c>
      <x:c r="L19" s="46" t="n">
        <x:f>IFERROR(MIN($G$13:$G$32)/G19,0)</x:f>
        <x:v>0</x:v>
      </x:c>
      <x:c r="M19" s="46" t="n">
        <x:f>IFERROR(MIN($H$13:$H$32)/H19,0)</x:f>
        <x:v>0</x:v>
      </x:c>
      <x:c r="N19" s="48" t="str">
        <x:f>IF(A19="","",100*(J19*$B$6+K19*$B$7+L19*$B$8+M19*$B$9))</x:f>
      </x:c>
      <x:c r="O19" s="50" t="str">
        <x:f>IF(N19="","",1+COUNTIF($N$13:$N$32,"&gt;"&amp;N19))</x:f>
      </x:c>
      <x:c r="P19" s="36"/>
    </x:row>
    <x:row r="20">
      <x:c r="A20" s="36"/>
      <x:c r="B20" s="40"/>
      <x:c r="C20" s="40"/>
      <x:c r="D20" s="40"/>
      <x:c r="E20" s="42"/>
      <x:c r="F20" s="42"/>
      <x:c r="G20" s="42"/>
      <x:c r="H20" s="42"/>
      <x:c r="I20" s="43" t="str">
        <x:f>IF(A20="","",IFERROR(MAX(0,MIN(E20,(-B20-SQRT(B20^2-4*A20*(C20-$B$5)))/(2*A20))),E20))</x:f>
      </x:c>
      <x:c r="J20" s="46" t="n">
        <x:f>IFERROR(I20/MAX($I$13:$I$32),0)</x:f>
        <x:v>0</x:v>
      </x:c>
      <x:c r="K20" s="46" t="n">
        <x:f>IFERROR(F20/MAX($F$13:$F$32),0)</x:f>
        <x:v>0</x:v>
      </x:c>
      <x:c r="L20" s="46" t="n">
        <x:f>IFERROR(MIN($G$13:$G$32)/G20,0)</x:f>
        <x:v>0</x:v>
      </x:c>
      <x:c r="M20" s="46" t="n">
        <x:f>IFERROR(MIN($H$13:$H$32)/H20,0)</x:f>
        <x:v>0</x:v>
      </x:c>
      <x:c r="N20" s="48" t="str">
        <x:f>IF(A20="","",100*(J20*$B$6+K20*$B$7+L20*$B$8+M20*$B$9))</x:f>
      </x:c>
      <x:c r="O20" s="50" t="str">
        <x:f>IF(N20="","",1+COUNTIF($N$13:$N$32,"&gt;"&amp;N20))</x:f>
      </x:c>
      <x:c r="P20" s="36"/>
    </x:row>
    <x:row r="21">
      <x:c r="A21" s="36"/>
      <x:c r="B21" s="40"/>
      <x:c r="C21" s="40"/>
      <x:c r="D21" s="40"/>
      <x:c r="E21" s="42"/>
      <x:c r="F21" s="42"/>
      <x:c r="G21" s="42"/>
      <x:c r="H21" s="42"/>
      <x:c r="I21" s="43" t="str">
        <x:f>IF(A21="","",IFERROR(MAX(0,MIN(E21,(-B21-SQRT(B21^2-4*A21*(C21-$B$5)))/(2*A21))),E21))</x:f>
      </x:c>
      <x:c r="J21" s="46" t="n">
        <x:f>IFERROR(I21/MAX($I$13:$I$32),0)</x:f>
        <x:v>0</x:v>
      </x:c>
      <x:c r="K21" s="46" t="n">
        <x:f>IFERROR(F21/MAX($F$13:$F$32),0)</x:f>
        <x:v>0</x:v>
      </x:c>
      <x:c r="L21" s="46" t="n">
        <x:f>IFERROR(MIN($G$13:$G$32)/G21,0)</x:f>
        <x:v>0</x:v>
      </x:c>
      <x:c r="M21" s="46" t="n">
        <x:f>IFERROR(MIN($H$13:$H$32)/H21,0)</x:f>
        <x:v>0</x:v>
      </x:c>
      <x:c r="N21" s="48" t="str">
        <x:f>IF(A21="","",100*(J21*$B$6+K21*$B$7+L21*$B$8+M21*$B$9))</x:f>
      </x:c>
      <x:c r="O21" s="50" t="str">
        <x:f>IF(N21="","",1+COUNTIF($N$13:$N$32,"&gt;"&amp;N21))</x:f>
      </x:c>
      <x:c r="P21" s="36"/>
    </x:row>
    <x:row r="22">
      <x:c r="A22" s="36"/>
      <x:c r="B22" s="40"/>
      <x:c r="C22" s="40"/>
      <x:c r="D22" s="40"/>
      <x:c r="E22" s="42"/>
      <x:c r="F22" s="42"/>
      <x:c r="G22" s="42"/>
      <x:c r="H22" s="42"/>
      <x:c r="I22" s="43" t="str">
        <x:f>IF(A22="","",IFERROR(MAX(0,MIN(E22,(-B22-SQRT(B22^2-4*A22*(C22-$B$5)))/(2*A22))),E22))</x:f>
      </x:c>
      <x:c r="J22" s="46" t="n">
        <x:f>IFERROR(I22/MAX($I$13:$I$32),0)</x:f>
        <x:v>0</x:v>
      </x:c>
      <x:c r="K22" s="46" t="n">
        <x:f>IFERROR(F22/MAX($F$13:$F$32),0)</x:f>
        <x:v>0</x:v>
      </x:c>
      <x:c r="L22" s="46" t="n">
        <x:f>IFERROR(MIN($G$13:$G$32)/G22,0)</x:f>
        <x:v>0</x:v>
      </x:c>
      <x:c r="M22" s="46" t="n">
        <x:f>IFERROR(MIN($H$13:$H$32)/H22,0)</x:f>
        <x:v>0</x:v>
      </x:c>
      <x:c r="N22" s="48" t="str">
        <x:f>IF(A22="","",100*(J22*$B$6+K22*$B$7+L22*$B$8+M22*$B$9))</x:f>
      </x:c>
      <x:c r="O22" s="50" t="str">
        <x:f>IF(N22="","",1+COUNTIF($N$13:$N$32,"&gt;"&amp;N22))</x:f>
      </x:c>
      <x:c r="P22" s="36"/>
    </x:row>
    <x:row r="23">
      <x:c r="A23" s="36"/>
      <x:c r="B23" s="40"/>
      <x:c r="C23" s="40"/>
      <x:c r="D23" s="40"/>
      <x:c r="E23" s="42"/>
      <x:c r="F23" s="42"/>
      <x:c r="G23" s="42"/>
      <x:c r="H23" s="42"/>
      <x:c r="I23" s="43" t="str">
        <x:f>IF(A23="","",IFERROR(MAX(0,MIN(E23,(-B23-SQRT(B23^2-4*A23*(C23-$B$5)))/(2*A23))),E23))</x:f>
      </x:c>
      <x:c r="J23" s="46" t="n">
        <x:f>IFERROR(I23/MAX($I$13:$I$32),0)</x:f>
        <x:v>0</x:v>
      </x:c>
      <x:c r="K23" s="46" t="n">
        <x:f>IFERROR(F23/MAX($F$13:$F$32),0)</x:f>
        <x:v>0</x:v>
      </x:c>
      <x:c r="L23" s="46" t="n">
        <x:f>IFERROR(MIN($G$13:$G$32)/G23,0)</x:f>
        <x:v>0</x:v>
      </x:c>
      <x:c r="M23" s="46" t="n">
        <x:f>IFERROR(MIN($H$13:$H$32)/H23,0)</x:f>
        <x:v>0</x:v>
      </x:c>
      <x:c r="N23" s="48" t="str">
        <x:f>IF(A23="","",100*(J23*$B$6+K23*$B$7+L23*$B$8+M23*$B$9))</x:f>
      </x:c>
      <x:c r="O23" s="50" t="str">
        <x:f>IF(N23="","",1+COUNTIF($N$13:$N$32,"&gt;"&amp;N23))</x:f>
      </x:c>
      <x:c r="P23" s="36"/>
    </x:row>
    <x:row r="24">
      <x:c r="A24" s="36"/>
      <x:c r="B24" s="40"/>
      <x:c r="C24" s="40"/>
      <x:c r="D24" s="40"/>
      <x:c r="E24" s="42"/>
      <x:c r="F24" s="42"/>
      <x:c r="G24" s="42"/>
      <x:c r="H24" s="42"/>
      <x:c r="I24" s="43" t="str">
        <x:f>IF(A24="","",IFERROR(MAX(0,MIN(E24,(-B24-SQRT(B24^2-4*A24*(C24-$B$5)))/(2*A24))),E24))</x:f>
      </x:c>
      <x:c r="J24" s="46" t="n">
        <x:f>IFERROR(I24/MAX($I$13:$I$32),0)</x:f>
        <x:v>0</x:v>
      </x:c>
      <x:c r="K24" s="46" t="n">
        <x:f>IFERROR(F24/MAX($F$13:$F$32),0)</x:f>
        <x:v>0</x:v>
      </x:c>
      <x:c r="L24" s="46" t="n">
        <x:f>IFERROR(MIN($G$13:$G$32)/G24,0)</x:f>
        <x:v>0</x:v>
      </x:c>
      <x:c r="M24" s="46" t="n">
        <x:f>IFERROR(MIN($H$13:$H$32)/H24,0)</x:f>
        <x:v>0</x:v>
      </x:c>
      <x:c r="N24" s="48" t="str">
        <x:f>IF(A24="","",100*(J24*$B$6+K24*$B$7+L24*$B$8+M24*$B$9))</x:f>
      </x:c>
      <x:c r="O24" s="50" t="str">
        <x:f>IF(N24="","",1+COUNTIF($N$13:$N$32,"&gt;"&amp;N24))</x:f>
      </x:c>
      <x:c r="P24" s="36"/>
    </x:row>
    <x:row r="25">
      <x:c r="A25" s="36"/>
      <x:c r="B25" s="40"/>
      <x:c r="C25" s="40"/>
      <x:c r="D25" s="40"/>
      <x:c r="E25" s="42"/>
      <x:c r="F25" s="42"/>
      <x:c r="G25" s="42"/>
      <x:c r="H25" s="42"/>
      <x:c r="I25" s="43" t="str">
        <x:f>IF(A25="","",IFERROR(MAX(0,MIN(E25,(-B25-SQRT(B25^2-4*A25*(C25-$B$5)))/(2*A25))),E25))</x:f>
      </x:c>
      <x:c r="J25" s="46" t="n">
        <x:f>IFERROR(I25/MAX($I$13:$I$32),0)</x:f>
        <x:v>0</x:v>
      </x:c>
      <x:c r="K25" s="46" t="n">
        <x:f>IFERROR(F25/MAX($F$13:$F$32),0)</x:f>
        <x:v>0</x:v>
      </x:c>
      <x:c r="L25" s="46" t="n">
        <x:f>IFERROR(MIN($G$13:$G$32)/G25,0)</x:f>
        <x:v>0</x:v>
      </x:c>
      <x:c r="M25" s="46" t="n">
        <x:f>IFERROR(MIN($H$13:$H$32)/H25,0)</x:f>
        <x:v>0</x:v>
      </x:c>
      <x:c r="N25" s="48" t="str">
        <x:f>IF(A25="","",100*(J25*$B$6+K25*$B$7+L25*$B$8+M25*$B$9))</x:f>
      </x:c>
      <x:c r="O25" s="50" t="str">
        <x:f>IF(N25="","",1+COUNTIF($N$13:$N$32,"&gt;"&amp;N25))</x:f>
      </x:c>
      <x:c r="P25" s="36"/>
    </x:row>
    <x:row r="26">
      <x:c r="A26" s="36"/>
      <x:c r="B26" s="40"/>
      <x:c r="C26" s="40"/>
      <x:c r="D26" s="40"/>
      <x:c r="E26" s="42"/>
      <x:c r="F26" s="42"/>
      <x:c r="G26" s="42"/>
      <x:c r="H26" s="42"/>
      <x:c r="I26" s="43" t="str">
        <x:f>IF(A26="","",IFERROR(MAX(0,MIN(E26,(-B26-SQRT(B26^2-4*A26*(C26-$B$5)))/(2*A26))),E26))</x:f>
      </x:c>
      <x:c r="J26" s="46" t="n">
        <x:f>IFERROR(I26/MAX($I$13:$I$32),0)</x:f>
        <x:v>0</x:v>
      </x:c>
      <x:c r="K26" s="46" t="n">
        <x:f>IFERROR(F26/MAX($F$13:$F$32),0)</x:f>
        <x:v>0</x:v>
      </x:c>
      <x:c r="L26" s="46" t="n">
        <x:f>IFERROR(MIN($G$13:$G$32)/G26,0)</x:f>
        <x:v>0</x:v>
      </x:c>
      <x:c r="M26" s="46" t="n">
        <x:f>IFERROR(MIN($H$13:$H$32)/H26,0)</x:f>
        <x:v>0</x:v>
      </x:c>
      <x:c r="N26" s="48" t="str">
        <x:f>IF(A26="","",100*(J26*$B$6+K26*$B$7+L26*$B$8+M26*$B$9))</x:f>
      </x:c>
      <x:c r="O26" s="50" t="str">
        <x:f>IF(N26="","",1+COUNTIF($N$13:$N$32,"&gt;"&amp;N26))</x:f>
      </x:c>
      <x:c r="P26" s="36"/>
    </x:row>
    <x:row r="27">
      <x:c r="A27" s="36"/>
      <x:c r="B27" s="40"/>
      <x:c r="C27" s="40"/>
      <x:c r="D27" s="40"/>
      <x:c r="E27" s="42"/>
      <x:c r="F27" s="42"/>
      <x:c r="G27" s="42"/>
      <x:c r="H27" s="42"/>
      <x:c r="I27" s="43" t="str">
        <x:f>IF(A27="","",IFERROR(MAX(0,MIN(E27,(-B27-SQRT(B27^2-4*A27*(C27-$B$5)))/(2*A27))),E27))</x:f>
      </x:c>
      <x:c r="J27" s="46" t="n">
        <x:f>IFERROR(I27/MAX($I$13:$I$32),0)</x:f>
        <x:v>0</x:v>
      </x:c>
      <x:c r="K27" s="46" t="n">
        <x:f>IFERROR(F27/MAX($F$13:$F$32),0)</x:f>
        <x:v>0</x:v>
      </x:c>
      <x:c r="L27" s="46" t="n">
        <x:f>IFERROR(MIN($G$13:$G$32)/G27,0)</x:f>
        <x:v>0</x:v>
      </x:c>
      <x:c r="M27" s="46" t="n">
        <x:f>IFERROR(MIN($H$13:$H$32)/H27,0)</x:f>
        <x:v>0</x:v>
      </x:c>
      <x:c r="N27" s="48" t="str">
        <x:f>IF(A27="","",100*(J27*$B$6+K27*$B$7+L27*$B$8+M27*$B$9))</x:f>
      </x:c>
      <x:c r="O27" s="50" t="str">
        <x:f>IF(N27="","",1+COUNTIF($N$13:$N$32,"&gt;"&amp;N27))</x:f>
      </x:c>
      <x:c r="P27" s="36"/>
    </x:row>
    <x:row r="28">
      <x:c r="A28" s="36"/>
      <x:c r="B28" s="40"/>
      <x:c r="C28" s="40"/>
      <x:c r="D28" s="40"/>
      <x:c r="E28" s="42"/>
      <x:c r="F28" s="42"/>
      <x:c r="G28" s="42"/>
      <x:c r="H28" s="42"/>
      <x:c r="I28" s="43" t="str">
        <x:f>IF(A28="","",IFERROR(MAX(0,MIN(E28,(-B28-SQRT(B28^2-4*A28*(C28-$B$5)))/(2*A28))),E28))</x:f>
      </x:c>
      <x:c r="J28" s="46" t="n">
        <x:f>IFERROR(I28/MAX($I$13:$I$32),0)</x:f>
        <x:v>0</x:v>
      </x:c>
      <x:c r="K28" s="46" t="n">
        <x:f>IFERROR(F28/MAX($F$13:$F$32),0)</x:f>
        <x:v>0</x:v>
      </x:c>
      <x:c r="L28" s="46" t="n">
        <x:f>IFERROR(MIN($G$13:$G$32)/G28,0)</x:f>
        <x:v>0</x:v>
      </x:c>
      <x:c r="M28" s="46" t="n">
        <x:f>IFERROR(MIN($H$13:$H$32)/H28,0)</x:f>
        <x:v>0</x:v>
      </x:c>
      <x:c r="N28" s="48" t="str">
        <x:f>IF(A28="","",100*(J28*$B$6+K28*$B$7+L28*$B$8+M28*$B$9))</x:f>
      </x:c>
      <x:c r="O28" s="50" t="str">
        <x:f>IF(N28="","",1+COUNTIF($N$13:$N$32,"&gt;"&amp;N28))</x:f>
      </x:c>
      <x:c r="P28" s="36"/>
    </x:row>
    <x:row r="29">
      <x:c r="A29" s="36"/>
      <x:c r="B29" s="40"/>
      <x:c r="C29" s="40"/>
      <x:c r="D29" s="40"/>
      <x:c r="E29" s="42"/>
      <x:c r="F29" s="42"/>
      <x:c r="G29" s="42"/>
      <x:c r="H29" s="42"/>
      <x:c r="I29" s="43" t="str">
        <x:f>IF(A29="","",IFERROR(MAX(0,MIN(E29,(-B29-SQRT(B29^2-4*A29*(C29-$B$5)))/(2*A29))),E29))</x:f>
      </x:c>
      <x:c r="J29" s="46" t="n">
        <x:f>IFERROR(I29/MAX($I$13:$I$32),0)</x:f>
        <x:v>0</x:v>
      </x:c>
      <x:c r="K29" s="46" t="n">
        <x:f>IFERROR(F29/MAX($F$13:$F$32),0)</x:f>
        <x:v>0</x:v>
      </x:c>
      <x:c r="L29" s="46" t="n">
        <x:f>IFERROR(MIN($G$13:$G$32)/G29,0)</x:f>
        <x:v>0</x:v>
      </x:c>
      <x:c r="M29" s="46" t="n">
        <x:f>IFERROR(MIN($H$13:$H$32)/H29,0)</x:f>
        <x:v>0</x:v>
      </x:c>
      <x:c r="N29" s="48" t="str">
        <x:f>IF(A29="","",100*(J29*$B$6+K29*$B$7+L29*$B$8+M29*$B$9))</x:f>
      </x:c>
      <x:c r="O29" s="50" t="str">
        <x:f>IF(N29="","",1+COUNTIF($N$13:$N$32,"&gt;"&amp;N29))</x:f>
      </x:c>
      <x:c r="P29" s="36"/>
    </x:row>
    <x:row r="30">
      <x:c r="A30" s="36"/>
      <x:c r="B30" s="40"/>
      <x:c r="C30" s="40"/>
      <x:c r="D30" s="40"/>
      <x:c r="E30" s="42"/>
      <x:c r="F30" s="42"/>
      <x:c r="G30" s="42"/>
      <x:c r="H30" s="42"/>
      <x:c r="I30" s="43" t="str">
        <x:f>IF(A30="","",IFERROR(MAX(0,MIN(E30,(-B30-SQRT(B30^2-4*A30*(C30-$B$5)))/(2*A30))),E30))</x:f>
      </x:c>
      <x:c r="J30" s="46" t="n">
        <x:f>IFERROR(I30/MAX($I$13:$I$32),0)</x:f>
        <x:v>0</x:v>
      </x:c>
      <x:c r="K30" s="46" t="n">
        <x:f>IFERROR(F30/MAX($F$13:$F$32),0)</x:f>
        <x:v>0</x:v>
      </x:c>
      <x:c r="L30" s="46" t="n">
        <x:f>IFERROR(MIN($G$13:$G$32)/G30,0)</x:f>
        <x:v>0</x:v>
      </x:c>
      <x:c r="M30" s="46" t="n">
        <x:f>IFERROR(MIN($H$13:$H$32)/H30,0)</x:f>
        <x:v>0</x:v>
      </x:c>
      <x:c r="N30" s="48" t="str">
        <x:f>IF(A30="","",100*(J30*$B$6+K30*$B$7+L30*$B$8+M30*$B$9))</x:f>
      </x:c>
      <x:c r="O30" s="50" t="str">
        <x:f>IF(N30="","",1+COUNTIF($N$13:$N$32,"&gt;"&amp;N30))</x:f>
      </x:c>
      <x:c r="P30" s="36"/>
    </x:row>
    <x:row r="31">
      <x:c r="A31" s="36"/>
      <x:c r="B31" s="40"/>
      <x:c r="C31" s="40"/>
      <x:c r="D31" s="40"/>
      <x:c r="E31" s="42"/>
      <x:c r="F31" s="42"/>
      <x:c r="G31" s="42"/>
      <x:c r="H31" s="42"/>
      <x:c r="I31" s="43" t="str">
        <x:f>IF(A31="","",IFERROR(MAX(0,MIN(E31,(-B31-SQRT(B31^2-4*A31*(C31-$B$5)))/(2*A31))),E31))</x:f>
      </x:c>
      <x:c r="J31" s="46" t="n">
        <x:f>IFERROR(I31/MAX($I$13:$I$32),0)</x:f>
        <x:v>0</x:v>
      </x:c>
      <x:c r="K31" s="46" t="n">
        <x:f>IFERROR(F31/MAX($F$13:$F$32),0)</x:f>
        <x:v>0</x:v>
      </x:c>
      <x:c r="L31" s="46" t="n">
        <x:f>IFERROR(MIN($G$13:$G$32)/G31,0)</x:f>
        <x:v>0</x:v>
      </x:c>
      <x:c r="M31" s="46" t="n">
        <x:f>IFERROR(MIN($H$13:$H$32)/H31,0)</x:f>
        <x:v>0</x:v>
      </x:c>
      <x:c r="N31" s="48" t="str">
        <x:f>IF(A31="","",100*(J31*$B$6+K31*$B$7+L31*$B$8+M31*$B$9))</x:f>
      </x:c>
      <x:c r="O31" s="50" t="str">
        <x:f>IF(N31="","",1+COUNTIF($N$13:$N$32,"&gt;"&amp;N31))</x:f>
      </x:c>
      <x:c r="P31" s="36"/>
    </x:row>
    <x:row r="32">
      <x:c r="A32" s="36"/>
      <x:c r="B32" s="40"/>
      <x:c r="C32" s="40"/>
      <x:c r="D32" s="40"/>
      <x:c r="E32" s="42"/>
      <x:c r="F32" s="42"/>
      <x:c r="G32" s="42"/>
      <x:c r="H32" s="42"/>
      <x:c r="I32" s="43" t="str">
        <x:f>IF(A32="","",IFERROR(MAX(0,MIN(E32,(-B32-SQRT(B32^2-4*A32*(C32-$B$5)))/(2*A32))),E32))</x:f>
      </x:c>
      <x:c r="J32" s="46" t="n">
        <x:f>IFERROR(I32/MAX($I$13:$I$32),0)</x:f>
        <x:v>0</x:v>
      </x:c>
      <x:c r="K32" s="46" t="n">
        <x:f>IFERROR(F32/MAX($F$13:$F$32),0)</x:f>
        <x:v>0</x:v>
      </x:c>
      <x:c r="L32" s="46" t="n">
        <x:f>IFERROR(MIN($G$13:$G$32)/G32,0)</x:f>
        <x:v>0</x:v>
      </x:c>
      <x:c r="M32" s="46" t="n">
        <x:f>IFERROR(MIN($H$13:$H$32)/H32,0)</x:f>
        <x:v>0</x:v>
      </x:c>
      <x:c r="N32" s="48" t="str">
        <x:f>IF(A32="","",100*(J32*$B$6+K32*$B$7+L32*$B$8+M32*$B$9))</x:f>
      </x:c>
      <x:c r="O32" s="50" t="str">
        <x:f>IF(N32="","",1+COUNTIF($N$13:$N$32,"&gt;"&amp;N32))</x:f>
      </x:c>
      <x:c r="P32" s="36"/>
    </x:row>
    <x:row r="35" ht="42" customHeight="1">
      <x:c r="A35" s="54" t="str">
        <x:v>Interpretation: Overall Score is relative to the fans entered in this sheet. Higher is better. CFM @ Target Pressure is the most useful airflow comparison because it estimates where the fan operates against chassis restriction.</x:v>
      </x:c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</x:row>
    <x:row r="37">
      <x:c r="A37" s="58" t="str">
        <x:v>Noise note: dBA is logarithmic, so a simple linear score is only a screening metric. For the final study, compare manufacturer sound data at the actual operating point/RPM when available. You can change the four weights above depending on whether cooling performance or acoustics is the priority.</x:v>
      </x:c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</x:row>
  </x:sheetData>
  <x:mergeCells>
    <x:mergeCell ref="A1:P1"/>
    <x:mergeCell ref="A2:P2"/>
    <x:mergeCell ref="A35:P35"/>
    <x:mergeCell ref="A37:P39"/>
  </x:mergeCells>
  <x:conditionalFormatting sqref="N13:N3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G13:G32">
    <x:cfRule type="dataBar" priority="2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{70DA2469-865B-3E30-157B-4FAEA65A0E52}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77bb1919e204331"/>
  <x:tableParts count="1">
    <x:tablePart xmlns:r="http://schemas.openxmlformats.org/officeDocument/2006/relationships" r:id="Rf4ad1f14e897465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0DA2469-865B-3E30-157B-4FAEA65A0E52}">
            <x14:dataBar gradient="1">
              <x14:cfvo type="min"/>
              <x14:cfvo type="max"/>
              <x14:fillColor rgb="FFE97132"/>
            </x14:dataBar>
          </x14:cfRule>
          <xm:sqref>G13:G32</xm:sqref>
        </x14:conditionalFormatting>
      </x14:conditionalFormattings>
    </x:ext>
  </x:extLst>
</x:worksheet>
</file>